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花費明細" sheetId="2" state="visible" r:id="rId4"/>
    <sheet name="景點完成進度" sheetId="3" state="visible" r:id="rId5"/>
    <sheet name="結算" sheetId="4" state="visible" r:id="rId6"/>
    <sheet name="使用說明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<sst xmlns="http://schemas.openxmlformats.org/spreadsheetml/2006/main" count="270" uniqueCount="246">
  <si>
    <r>
      <rPr>
        <b val="true"/>
        <sz val="14"/>
        <color rgb="FFFFFFFF"/>
        <rFont val="Noto Sans CJK SC"/>
        <family val="2"/>
      </rPr>
      <t xml:space="preserve">🗼 東京 </t>
    </r>
    <r>
      <rPr>
        <b val="true"/>
        <sz val="14"/>
        <color rgb="FFFFFFFF"/>
        <rFont val="Arial"/>
        <family val="0"/>
        <charset val="1"/>
      </rPr>
      <t xml:space="preserve">9 </t>
    </r>
    <r>
      <rPr>
        <b val="true"/>
        <sz val="14"/>
        <color rgb="FFFFFFFF"/>
        <rFont val="Noto Sans CJK SC"/>
        <family val="2"/>
      </rPr>
      <t xml:space="preserve">天行程 ｜ 家庭共享 </t>
    </r>
    <r>
      <rPr>
        <b val="true"/>
        <sz val="14"/>
        <color rgb="FFFFFFFF"/>
        <rFont val="Arial"/>
        <family val="0"/>
        <charset val="1"/>
      </rPr>
      <t xml:space="preserve">Dashboard</t>
    </r>
  </si>
  <si>
    <t xml:space="preserve">▼ 旅行資訊</t>
  </si>
  <si>
    <t xml:space="preserve">出發日期</t>
  </si>
  <si>
    <t xml:space="preserve">2026/05/16</t>
  </si>
  <si>
    <t xml:space="preserve">回程日期</t>
  </si>
  <si>
    <t xml:space="preserve">2026/05/24</t>
  </si>
  <si>
    <t xml:space="preserve">天數</t>
  </si>
  <si>
    <t xml:space="preserve">航空公司</t>
  </si>
  <si>
    <t xml:space="preserve">JAL</t>
  </si>
  <si>
    <t xml:space="preserve">去程班機</t>
  </si>
  <si>
    <t xml:space="preserve">JL8664</t>
  </si>
  <si>
    <t xml:space="preserve">回程班機</t>
  </si>
  <si>
    <t xml:space="preserve">JL8663</t>
  </si>
  <si>
    <t xml:space="preserve">同行人數</t>
  </si>
  <si>
    <t xml:space="preserve">成人</t>
  </si>
  <si>
    <t xml:space="preserve">兒童</t>
  </si>
  <si>
    <t xml:space="preserve">▼ 旅程進度（依「景點完成進度」分頁自動計算）</t>
  </si>
  <si>
    <t xml:space="preserve">總景點數</t>
  </si>
  <si>
    <t xml:space="preserve">已完成</t>
  </si>
  <si>
    <t xml:space="preserve">完成率</t>
  </si>
  <si>
    <t xml:space="preserve">未完成</t>
  </si>
  <si>
    <t xml:space="preserve">▼ 預算總覽（依「花費明細」分頁自動計算）</t>
  </si>
  <si>
    <r>
      <rPr>
        <b val="true"/>
        <sz val="10"/>
        <rFont val="Noto Sans CJK SC"/>
        <family val="2"/>
      </rPr>
      <t xml:space="preserve">總預算 </t>
    </r>
    <r>
      <rPr>
        <b val="true"/>
        <sz val="10"/>
        <rFont val="Arial"/>
        <family val="0"/>
        <charset val="1"/>
      </rPr>
      <t xml:space="preserve">(NT$)</t>
    </r>
  </si>
  <si>
    <r>
      <rPr>
        <b val="true"/>
        <sz val="10"/>
        <rFont val="Noto Sans CJK SC"/>
        <family val="2"/>
      </rPr>
      <t xml:space="preserve">已花費 </t>
    </r>
    <r>
      <rPr>
        <b val="true"/>
        <sz val="10"/>
        <rFont val="Arial"/>
        <family val="0"/>
        <charset val="1"/>
      </rPr>
      <t xml:space="preserve">(NT$)</t>
    </r>
  </si>
  <si>
    <r>
      <rPr>
        <b val="true"/>
        <sz val="10"/>
        <rFont val="Noto Sans CJK SC"/>
        <family val="2"/>
      </rPr>
      <t xml:space="preserve">剩餘 </t>
    </r>
    <r>
      <rPr>
        <b val="true"/>
        <sz val="10"/>
        <rFont val="Arial"/>
        <family val="0"/>
        <charset val="1"/>
      </rPr>
      <t xml:space="preserve">(NT$)</t>
    </r>
  </si>
  <si>
    <t xml:space="preserve">使用率</t>
  </si>
  <si>
    <t xml:space="preserve">▼ 各人支付狀況（依「花費明細」加總）</t>
  </si>
  <si>
    <t xml:space="preserve">付款人</t>
  </si>
  <si>
    <r>
      <rPr>
        <b val="true"/>
        <sz val="10"/>
        <color rgb="FFFFFFFF"/>
        <rFont val="Noto Sans CJK SC"/>
        <family val="2"/>
      </rPr>
      <t xml:space="preserve">已支付 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</si>
  <si>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筆數</t>
  </si>
  <si>
    <r>
      <rPr>
        <b val="true"/>
        <sz val="10"/>
        <color rgb="FFFFFFFF"/>
        <rFont val="Noto Sans CJK SC"/>
        <family val="2"/>
      </rPr>
      <t xml:space="preserve">平均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筆</t>
    </r>
  </si>
  <si>
    <t xml:space="preserve">佔總比例</t>
  </si>
  <si>
    <t xml:space="preserve">備註</t>
  </si>
  <si>
    <t xml:space="preserve">👨 爸爸</t>
  </si>
  <si>
    <t xml:space="preserve">👩 老婆</t>
  </si>
  <si>
    <t xml:space="preserve">👵 媽媽</t>
  </si>
  <si>
    <t xml:space="preserve">👥 共付</t>
  </si>
  <si>
    <t xml:space="preserve">總計</t>
  </si>
  <si>
    <t xml:space="preserve">▼ 費用分類分析</t>
  </si>
  <si>
    <t xml:space="preserve">費用分類</t>
  </si>
  <si>
    <r>
      <rPr>
        <b val="true"/>
        <sz val="10"/>
        <color rgb="FFFFFFFF"/>
        <rFont val="Noto Sans CJK SC"/>
        <family val="2"/>
      </rPr>
      <t xml:space="preserve">金額 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</si>
  <si>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🚆 交通</t>
  </si>
  <si>
    <t xml:space="preserve">🍱 餐飲</t>
  </si>
  <si>
    <t xml:space="preserve">🎫 門票</t>
  </si>
  <si>
    <t xml:space="preserve">🏨 住宿</t>
  </si>
  <si>
    <t xml:space="preserve">🛍 購物</t>
  </si>
  <si>
    <t xml:space="preserve">💊 藥妝</t>
  </si>
  <si>
    <t xml:space="preserve">🎁 伴手禮</t>
  </si>
  <si>
    <t xml:space="preserve">⚡ 雜支</t>
  </si>
  <si>
    <t xml:space="preserve">💰 每日花費明細（每筆獨立、自動換算）</t>
  </si>
  <si>
    <t xml:space="preserve">日期</t>
  </si>
  <si>
    <t xml:space="preserve">景點</t>
  </si>
  <si>
    <t xml:space="preserve">幣別</t>
  </si>
  <si>
    <t xml:space="preserve">原始金額</t>
  </si>
  <si>
    <r>
      <rPr>
        <b val="true"/>
        <sz val="10"/>
        <color rgb="FFFFFFFF"/>
        <rFont val="Noto Sans CJK SC"/>
        <family val="2"/>
      </rPr>
      <t xml:space="preserve">換算 </t>
    </r>
    <r>
      <rPr>
        <b val="true"/>
        <sz val="10"/>
        <color rgb="FFFFFFFF"/>
        <rFont val="Arial"/>
        <family val="0"/>
        <charset val="1"/>
      </rPr>
      <t xml:space="preserve">(NT$)</t>
    </r>
  </si>
  <si>
    <r>
      <rPr>
        <b val="true"/>
        <sz val="10"/>
        <color rgb="FFFFFFFF"/>
        <rFont val="Arial"/>
        <family val="0"/>
        <charset val="1"/>
      </rPr>
      <t xml:space="preserve">JPY </t>
    </r>
    <r>
      <rPr>
        <b val="true"/>
        <sz val="10"/>
        <color rgb="FFFFFFFF"/>
        <rFont val="Noto Sans CJK SC"/>
        <family val="2"/>
      </rPr>
      <t xml:space="preserve">匯率</t>
    </r>
  </si>
  <si>
    <r>
      <rPr>
        <b val="true"/>
        <sz val="10"/>
        <color rgb="FFFFFFFF"/>
        <rFont val="Arial"/>
        <family val="0"/>
        <charset val="1"/>
      </rPr>
      <t xml:space="preserve">USD </t>
    </r>
    <r>
      <rPr>
        <b val="true"/>
        <sz val="10"/>
        <color rgb="FFFFFFFF"/>
        <rFont val="Noto Sans CJK SC"/>
        <family val="2"/>
      </rPr>
      <t xml:space="preserve">匯率</t>
    </r>
  </si>
  <si>
    <t xml:space="preserve">更新時間</t>
  </si>
  <si>
    <t xml:space="preserve">📌 欄位代碼說明</t>
  </si>
  <si>
    <t xml:space="preserve">馬賊拉麵</t>
  </si>
  <si>
    <r>
      <rPr>
        <sz val="10"/>
        <color rgb="FF0000FF"/>
        <rFont val="Noto Sans CJK SC"/>
        <family val="2"/>
      </rPr>
      <t xml:space="preserve">晚餐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人份</t>
    </r>
  </si>
  <si>
    <t xml:space="preserve">JPY</t>
  </si>
  <si>
    <t xml:space="preserve">food</t>
  </si>
  <si>
    <t xml:space="preserve">dad</t>
  </si>
  <si>
    <t xml:space="preserve">2026/05/15</t>
  </si>
  <si>
    <t xml:space="preserve">幣別代碼：</t>
  </si>
  <si>
    <r>
      <rPr>
        <i val="true"/>
        <sz val="9"/>
        <color rgb="FF666666"/>
        <rFont val="Arial"/>
        <family val="0"/>
        <charset val="1"/>
      </rPr>
      <t xml:space="preserve">  JPY = </t>
    </r>
    <r>
      <rPr>
        <i val="true"/>
        <sz val="9"/>
        <color rgb="FF666666"/>
        <rFont val="Noto Sans CJK SC"/>
        <family val="2"/>
      </rPr>
      <t xml:space="preserve">日圓</t>
    </r>
  </si>
  <si>
    <r>
      <rPr>
        <i val="true"/>
        <sz val="9"/>
        <color rgb="FF666666"/>
        <rFont val="Arial"/>
        <family val="0"/>
        <charset val="1"/>
      </rPr>
      <t xml:space="preserve">  TWD = </t>
    </r>
    <r>
      <rPr>
        <i val="true"/>
        <sz val="9"/>
        <color rgb="FF666666"/>
        <rFont val="Noto Sans CJK SC"/>
        <family val="2"/>
      </rPr>
      <t xml:space="preserve">台幣</t>
    </r>
  </si>
  <si>
    <r>
      <rPr>
        <i val="true"/>
        <sz val="9"/>
        <color rgb="FF666666"/>
        <rFont val="Arial"/>
        <family val="0"/>
        <charset val="1"/>
      </rPr>
      <t xml:space="preserve">  USD = </t>
    </r>
    <r>
      <rPr>
        <i val="true"/>
        <sz val="9"/>
        <color rgb="FF666666"/>
        <rFont val="Noto Sans CJK SC"/>
        <family val="2"/>
      </rPr>
      <t xml:space="preserve">美金</t>
    </r>
  </si>
  <si>
    <t xml:space="preserve">費用分類代碼：</t>
  </si>
  <si>
    <r>
      <rPr>
        <i val="true"/>
        <sz val="9"/>
        <color rgb="FF666666"/>
        <rFont val="Arial"/>
        <family val="0"/>
        <charset val="1"/>
      </rPr>
      <t xml:space="preserve">  transport = </t>
    </r>
    <r>
      <rPr>
        <i val="true"/>
        <sz val="9"/>
        <color rgb="FF666666"/>
        <rFont val="Noto Sans CJK SC"/>
        <family val="2"/>
      </rPr>
      <t xml:space="preserve">交通</t>
    </r>
  </si>
  <si>
    <r>
      <rPr>
        <i val="true"/>
        <sz val="9"/>
        <color rgb="FF666666"/>
        <rFont val="Arial"/>
        <family val="0"/>
        <charset val="1"/>
      </rPr>
      <t xml:space="preserve">  food = </t>
    </r>
    <r>
      <rPr>
        <i val="true"/>
        <sz val="9"/>
        <color rgb="FF666666"/>
        <rFont val="Noto Sans CJK SC"/>
        <family val="2"/>
      </rPr>
      <t xml:space="preserve">餐飲</t>
    </r>
  </si>
  <si>
    <r>
      <rPr>
        <i val="true"/>
        <sz val="9"/>
        <color rgb="FF666666"/>
        <rFont val="Arial"/>
        <family val="0"/>
        <charset val="1"/>
      </rPr>
      <t xml:space="preserve">  ticket = </t>
    </r>
    <r>
      <rPr>
        <i val="true"/>
        <sz val="9"/>
        <color rgb="FF666666"/>
        <rFont val="Noto Sans CJK SC"/>
        <family val="2"/>
      </rPr>
      <t xml:space="preserve">門票</t>
    </r>
  </si>
  <si>
    <r>
      <rPr>
        <i val="true"/>
        <sz val="9"/>
        <color rgb="FF666666"/>
        <rFont val="Arial"/>
        <family val="0"/>
        <charset val="1"/>
      </rPr>
      <t xml:space="preserve">  hotel = </t>
    </r>
    <r>
      <rPr>
        <i val="true"/>
        <sz val="9"/>
        <color rgb="FF666666"/>
        <rFont val="Noto Sans CJK SC"/>
        <family val="2"/>
      </rPr>
      <t xml:space="preserve">住宿</t>
    </r>
  </si>
  <si>
    <r>
      <rPr>
        <i val="true"/>
        <sz val="9"/>
        <color rgb="FF666666"/>
        <rFont val="Arial"/>
        <family val="0"/>
        <charset val="1"/>
      </rPr>
      <t xml:space="preserve">  shopping = </t>
    </r>
    <r>
      <rPr>
        <i val="true"/>
        <sz val="9"/>
        <color rgb="FF666666"/>
        <rFont val="Noto Sans CJK SC"/>
        <family val="2"/>
      </rPr>
      <t xml:space="preserve">購物</t>
    </r>
  </si>
  <si>
    <r>
      <rPr>
        <i val="true"/>
        <sz val="9"/>
        <color rgb="FF666666"/>
        <rFont val="Arial"/>
        <family val="0"/>
        <charset val="1"/>
      </rPr>
      <t xml:space="preserve">  cosmetics = </t>
    </r>
    <r>
      <rPr>
        <i val="true"/>
        <sz val="9"/>
        <color rgb="FF666666"/>
        <rFont val="Noto Sans CJK SC"/>
        <family val="2"/>
      </rPr>
      <t xml:space="preserve">藥妝</t>
    </r>
  </si>
  <si>
    <r>
      <rPr>
        <i val="true"/>
        <sz val="9"/>
        <color rgb="FF666666"/>
        <rFont val="Arial"/>
        <family val="0"/>
        <charset val="1"/>
      </rPr>
      <t xml:space="preserve">  souvenir = </t>
    </r>
    <r>
      <rPr>
        <i val="true"/>
        <sz val="9"/>
        <color rgb="FF666666"/>
        <rFont val="Noto Sans CJK SC"/>
        <family val="2"/>
      </rPr>
      <t xml:space="preserve">伴手禮</t>
    </r>
  </si>
  <si>
    <r>
      <rPr>
        <i val="true"/>
        <sz val="9"/>
        <color rgb="FF666666"/>
        <rFont val="Arial"/>
        <family val="0"/>
        <charset val="1"/>
      </rPr>
      <t xml:space="preserve">  other = </t>
    </r>
    <r>
      <rPr>
        <i val="true"/>
        <sz val="9"/>
        <color rgb="FF666666"/>
        <rFont val="Noto Sans CJK SC"/>
        <family val="2"/>
      </rPr>
      <t xml:space="preserve">雜支</t>
    </r>
  </si>
  <si>
    <t xml:space="preserve">付款人代碼：</t>
  </si>
  <si>
    <r>
      <rPr>
        <i val="true"/>
        <sz val="9"/>
        <color rgb="FF666666"/>
        <rFont val="Arial"/>
        <family val="0"/>
        <charset val="1"/>
      </rPr>
      <t xml:space="preserve">  dad = </t>
    </r>
    <r>
      <rPr>
        <i val="true"/>
        <sz val="9"/>
        <color rgb="FF666666"/>
        <rFont val="Noto Sans CJK SC"/>
        <family val="2"/>
      </rPr>
      <t xml:space="preserve">爸爸</t>
    </r>
  </si>
  <si>
    <r>
      <rPr>
        <i val="true"/>
        <sz val="9"/>
        <color rgb="FF666666"/>
        <rFont val="Arial"/>
        <family val="0"/>
        <charset val="1"/>
      </rPr>
      <t xml:space="preserve">  wife = </t>
    </r>
    <r>
      <rPr>
        <i val="true"/>
        <sz val="9"/>
        <color rgb="FF666666"/>
        <rFont val="Noto Sans CJK SC"/>
        <family val="2"/>
      </rPr>
      <t xml:space="preserve">老婆</t>
    </r>
  </si>
  <si>
    <r>
      <rPr>
        <i val="true"/>
        <sz val="9"/>
        <color rgb="FF666666"/>
        <rFont val="Arial"/>
        <family val="0"/>
        <charset val="1"/>
      </rPr>
      <t xml:space="preserve">  mom = </t>
    </r>
    <r>
      <rPr>
        <i val="true"/>
        <sz val="9"/>
        <color rgb="FF666666"/>
        <rFont val="Noto Sans CJK SC"/>
        <family val="2"/>
      </rPr>
      <t xml:space="preserve">媽媽</t>
    </r>
  </si>
  <si>
    <r>
      <rPr>
        <i val="true"/>
        <sz val="9"/>
        <color rgb="FF666666"/>
        <rFont val="Arial"/>
        <family val="0"/>
        <charset val="1"/>
      </rPr>
      <t xml:space="preserve">  shared = </t>
    </r>
    <r>
      <rPr>
        <i val="true"/>
        <sz val="9"/>
        <color rgb="FF666666"/>
        <rFont val="Noto Sans CJK SC"/>
        <family val="2"/>
      </rPr>
      <t xml:space="preserve">共付</t>
    </r>
  </si>
  <si>
    <r>
      <rPr>
        <b val="true"/>
        <sz val="14"/>
        <color rgb="FFFFFFFF"/>
        <rFont val="Arial"/>
        <family val="0"/>
        <charset val="1"/>
      </rPr>
      <t xml:space="preserve">📍 35 </t>
    </r>
    <r>
      <rPr>
        <b val="true"/>
        <sz val="14"/>
        <color rgb="FFFFFFFF"/>
        <rFont val="Noto Sans CJK SC"/>
        <family val="2"/>
      </rPr>
      <t xml:space="preserve">景點完成進度（</t>
    </r>
    <r>
      <rPr>
        <b val="true"/>
        <sz val="14"/>
        <color rgb="FFFFFFFF"/>
        <rFont val="Arial"/>
        <family val="0"/>
        <charset val="1"/>
      </rPr>
      <t xml:space="preserve">4 </t>
    </r>
    <r>
      <rPr>
        <b val="true"/>
        <sz val="14"/>
        <color rgb="FFFFFFFF"/>
        <rFont val="Noto Sans CJK SC"/>
        <family val="2"/>
      </rPr>
      <t xml:space="preserve">人共同記錄）</t>
    </r>
  </si>
  <si>
    <t xml:space="preserve">日</t>
  </si>
  <si>
    <t xml:space="preserve">時間</t>
  </si>
  <si>
    <t xml:space="preserve">景點名稱</t>
  </si>
  <si>
    <r>
      <rPr>
        <b val="true"/>
        <sz val="10"/>
        <color rgb="FFFFFFFF"/>
        <rFont val="Noto Sans CJK SC"/>
        <family val="2"/>
      </rPr>
      <t xml:space="preserve">預估 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</si>
  <si>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完成</t>
  </si>
  <si>
    <t xml:space="preserve">評分</t>
  </si>
  <si>
    <t xml:space="preserve">12:45</t>
  </si>
  <si>
    <r>
      <rPr>
        <sz val="10"/>
        <rFont val="Noto Sans CJK SC"/>
        <family val="2"/>
      </rPr>
      <t xml:space="preserve">桃園起飛 </t>
    </r>
    <r>
      <rPr>
        <sz val="10"/>
        <rFont val="Arial"/>
        <family val="0"/>
        <charset val="1"/>
      </rPr>
      <t xml:space="preserve">JL8664</t>
    </r>
  </si>
  <si>
    <t xml:space="preserve">17:15</t>
  </si>
  <si>
    <r>
      <rPr>
        <sz val="10"/>
        <rFont val="Noto Sans CJK SC"/>
        <family val="2"/>
      </rPr>
      <t xml:space="preserve">抵達 </t>
    </r>
    <r>
      <rPr>
        <sz val="10"/>
        <rFont val="Arial"/>
        <family val="0"/>
        <charset val="1"/>
      </rPr>
      <t xml:space="preserve">NRT </t>
    </r>
    <r>
      <rPr>
        <sz val="10"/>
        <rFont val="Noto Sans CJK SC"/>
        <family val="2"/>
      </rPr>
      <t xml:space="preserve">成田機場</t>
    </r>
  </si>
  <si>
    <t xml:space="preserve">18:10</t>
  </si>
  <si>
    <r>
      <rPr>
        <sz val="10"/>
        <rFont val="Arial"/>
        <family val="0"/>
        <charset val="1"/>
      </rPr>
      <t xml:space="preserve">Skyliner → </t>
    </r>
    <r>
      <rPr>
        <sz val="10"/>
        <rFont val="Noto Sans CJK SC"/>
        <family val="2"/>
      </rPr>
      <t xml:space="preserve">日暮里</t>
    </r>
  </si>
  <si>
    <t xml:space="preserve">18:50</t>
  </si>
  <si>
    <r>
      <rPr>
        <sz val="10"/>
        <rFont val="Arial"/>
        <family val="0"/>
        <charset val="1"/>
      </rPr>
      <t xml:space="preserve">MYSTAYS </t>
    </r>
    <r>
      <rPr>
        <sz val="10"/>
        <rFont val="Noto Sans CJK SC"/>
        <family val="2"/>
      </rPr>
      <t xml:space="preserve">日暮里入住</t>
    </r>
  </si>
  <si>
    <t xml:space="preserve">19:30</t>
  </si>
  <si>
    <r>
      <rPr>
        <sz val="10"/>
        <rFont val="Noto Sans CJK SC"/>
        <family val="2"/>
      </rPr>
      <t xml:space="preserve">夕燒臺階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谷中銀座入口</t>
    </r>
  </si>
  <si>
    <t xml:space="preserve">20:30</t>
  </si>
  <si>
    <t xml:space="preserve">馬賊 手打拉麵晚餐</t>
  </si>
  <si>
    <t xml:space="preserve">21:30</t>
  </si>
  <si>
    <t xml:space="preserve">羽二重糰子外帶</t>
  </si>
  <si>
    <t xml:space="preserve">09:30</t>
  </si>
  <si>
    <t xml:space="preserve">上野動物園</t>
  </si>
  <si>
    <t xml:space="preserve">12:00</t>
  </si>
  <si>
    <t xml:space="preserve">阿美橫町午餐</t>
  </si>
  <si>
    <t xml:space="preserve">13:30</t>
  </si>
  <si>
    <r>
      <rPr>
        <sz val="10"/>
        <rFont val="Noto Sans CJK SC"/>
        <family val="2"/>
      </rPr>
      <t xml:space="preserve">雷門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三社祭</t>
    </r>
  </si>
  <si>
    <t xml:space="preserve">17:00</t>
  </si>
  <si>
    <t xml:space="preserve">晴空塔展望台</t>
  </si>
  <si>
    <t xml:space="preserve">18:30</t>
  </si>
  <si>
    <r>
      <rPr>
        <sz val="10"/>
        <rFont val="Arial"/>
        <family val="0"/>
        <charset val="1"/>
      </rPr>
      <t xml:space="preserve">Solamachi </t>
    </r>
    <r>
      <rPr>
        <sz val="10"/>
        <rFont val="Noto Sans CJK SC"/>
        <family val="2"/>
      </rPr>
      <t xml:space="preserve">晚餐</t>
    </r>
  </si>
  <si>
    <t xml:space="preserve">09:00</t>
  </si>
  <si>
    <r>
      <rPr>
        <sz val="10"/>
        <rFont val="Noto Sans CJK SC"/>
        <family val="2"/>
      </rPr>
      <t xml:space="preserve">八重洲 </t>
    </r>
    <r>
      <rPr>
        <sz val="10"/>
        <rFont val="Arial"/>
        <family val="0"/>
        <charset val="1"/>
      </rPr>
      <t xml:space="preserve">BT → </t>
    </r>
    <r>
      <rPr>
        <sz val="10"/>
        <rFont val="Noto Sans CJK SC"/>
        <family val="2"/>
      </rPr>
      <t xml:space="preserve">龍宮城</t>
    </r>
  </si>
  <si>
    <t xml:space="preserve">10:00</t>
  </si>
  <si>
    <t xml:space="preserve">龍宮城三日月入住</t>
  </si>
  <si>
    <t xml:space="preserve">露天溫泉看夕陽</t>
  </si>
  <si>
    <t xml:space="preserve">18:00</t>
  </si>
  <si>
    <t xml:space="preserve">蟹腳吃到飽自助晚餐</t>
  </si>
  <si>
    <t xml:space="preserve">11:10</t>
  </si>
  <si>
    <t xml:space="preserve">東京站丸之內紅磚站體</t>
  </si>
  <si>
    <t xml:space="preserve">11:25</t>
  </si>
  <si>
    <r>
      <rPr>
        <sz val="10"/>
        <rFont val="Arial"/>
        <family val="0"/>
        <charset val="1"/>
      </rPr>
      <t xml:space="preserve">KITTE 6F </t>
    </r>
    <r>
      <rPr>
        <sz val="10"/>
        <rFont val="Noto Sans CJK SC"/>
        <family val="2"/>
      </rPr>
      <t xml:space="preserve">屋頂花園</t>
    </r>
  </si>
  <si>
    <t xml:space="preserve">12:20</t>
  </si>
  <si>
    <r>
      <rPr>
        <sz val="10"/>
        <rFont val="Noto Sans CJK SC"/>
        <family val="2"/>
      </rPr>
      <t xml:space="preserve">谷中銀座午餐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散策</t>
    </r>
  </si>
  <si>
    <t xml:space="preserve">14:00</t>
  </si>
  <si>
    <t xml:space="preserve">麻布台之丘中央廣場</t>
  </si>
  <si>
    <t xml:space="preserve">14:30</t>
  </si>
  <si>
    <t xml:space="preserve">teamLab Borderless</t>
  </si>
  <si>
    <t xml:space="preserve">16:30</t>
  </si>
  <si>
    <r>
      <rPr>
        <sz val="10"/>
        <rFont val="Noto Sans CJK SC"/>
        <family val="2"/>
      </rPr>
      <t xml:space="preserve">森 </t>
    </r>
    <r>
      <rPr>
        <sz val="10"/>
        <rFont val="Arial"/>
        <family val="0"/>
        <charset val="1"/>
      </rPr>
      <t xml:space="preserve">JP </t>
    </r>
    <r>
      <rPr>
        <sz val="10"/>
        <rFont val="Noto Sans CJK SC"/>
        <family val="2"/>
      </rPr>
      <t xml:space="preserve">塔 </t>
    </r>
    <r>
      <rPr>
        <sz val="10"/>
        <rFont val="Arial"/>
        <family val="0"/>
        <charset val="1"/>
      </rPr>
      <t xml:space="preserve">33F </t>
    </r>
    <r>
      <rPr>
        <sz val="10"/>
        <rFont val="Noto Sans CJK SC"/>
        <family val="2"/>
      </rPr>
      <t xml:space="preserve">展望</t>
    </r>
  </si>
  <si>
    <t xml:space="preserve">08:45</t>
  </si>
  <si>
    <t xml:space="preserve">新宿 → 富士芝櫻祭直行便</t>
  </si>
  <si>
    <t xml:space="preserve">10:30</t>
  </si>
  <si>
    <t xml:space="preserve">富士芝櫻祭會場</t>
  </si>
  <si>
    <r>
      <rPr>
        <sz val="10"/>
        <rFont val="Noto Sans CJK SC"/>
        <family val="2"/>
      </rPr>
      <t xml:space="preserve">河口湖觀光船 </t>
    </r>
    <r>
      <rPr>
        <sz val="10"/>
        <rFont val="Arial"/>
        <family val="0"/>
        <charset val="1"/>
      </rPr>
      <t xml:space="preserve">Ensoleille</t>
    </r>
  </si>
  <si>
    <t xml:space="preserve">15:00</t>
  </si>
  <si>
    <t xml:space="preserve">河口湖大橋</t>
  </si>
  <si>
    <t xml:space="preserve">17:30</t>
  </si>
  <si>
    <r>
      <rPr>
        <sz val="10"/>
        <rFont val="Arial"/>
        <family val="0"/>
        <charset val="1"/>
      </rPr>
      <t xml:space="preserve">MYSTAYS </t>
    </r>
    <r>
      <rPr>
        <sz val="10"/>
        <rFont val="Noto Sans CJK SC"/>
        <family val="2"/>
      </rPr>
      <t xml:space="preserve">富士山展望</t>
    </r>
  </si>
  <si>
    <t xml:space="preserve">大石公園</t>
  </si>
  <si>
    <t xml:space="preserve">11:35</t>
  </si>
  <si>
    <r>
      <rPr>
        <sz val="10"/>
        <rFont val="Noto Sans CJK SC"/>
        <family val="2"/>
      </rPr>
      <t xml:space="preserve">音樂盒之森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午餐</t>
    </r>
  </si>
  <si>
    <t xml:space="preserve">14:10</t>
  </si>
  <si>
    <t xml:space="preserve">天上山纜車</t>
  </si>
  <si>
    <t xml:space="preserve">08:30</t>
  </si>
  <si>
    <r>
      <rPr>
        <sz val="10"/>
        <rFont val="Arial"/>
        <family val="0"/>
        <charset val="1"/>
      </rPr>
      <t xml:space="preserve">UBER</t>
    </r>
    <r>
      <rPr>
        <sz val="10"/>
        <rFont val="Noto Sans CJK SC"/>
        <family val="2"/>
      </rPr>
      <t xml:space="preserve">：飯店 → 新倉山</t>
    </r>
  </si>
  <si>
    <t xml:space="preserve">08:40</t>
  </si>
  <si>
    <t xml:space="preserve">新倉山淺間公園攻頂</t>
  </si>
  <si>
    <t xml:space="preserve">11:40</t>
  </si>
  <si>
    <t xml:space="preserve">ほうとう不動 駅前店</t>
  </si>
  <si>
    <t xml:space="preserve">13:38</t>
  </si>
  <si>
    <t xml:space="preserve">富士急 → 新宿</t>
  </si>
  <si>
    <t xml:space="preserve">東京都廳觀景台</t>
  </si>
  <si>
    <t xml:space="preserve">花園神社例大祭</t>
  </si>
  <si>
    <t xml:space="preserve">09:31</t>
  </si>
  <si>
    <t xml:space="preserve">京成本線快特 → 京成成田</t>
  </si>
  <si>
    <t xml:space="preserve">佐原老街午餐（鰻魚）</t>
  </si>
  <si>
    <t xml:space="preserve">13:15</t>
  </si>
  <si>
    <t xml:space="preserve">小野川遊船</t>
  </si>
  <si>
    <t xml:space="preserve">13:45</t>
  </si>
  <si>
    <t xml:space="preserve">伊能忠敬舊宅</t>
  </si>
  <si>
    <t xml:space="preserve">14:15</t>
  </si>
  <si>
    <t xml:space="preserve">佐原三菱館</t>
  </si>
  <si>
    <t xml:space="preserve">16:00</t>
  </si>
  <si>
    <r>
      <rPr>
        <sz val="10"/>
        <rFont val="Noto Sans CJK SC"/>
        <family val="2"/>
      </rPr>
      <t xml:space="preserve">成田新勝寺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表參道</t>
    </r>
  </si>
  <si>
    <t xml:space="preserve">18:15</t>
  </si>
  <si>
    <r>
      <rPr>
        <sz val="10"/>
        <rFont val="Arial"/>
        <family val="0"/>
        <charset val="1"/>
      </rPr>
      <t xml:space="preserve">AEON </t>
    </r>
    <r>
      <rPr>
        <sz val="10"/>
        <rFont val="Noto Sans CJK SC"/>
        <family val="2"/>
      </rPr>
      <t xml:space="preserve">成田最後採買</t>
    </r>
  </si>
  <si>
    <t xml:space="preserve">06:55</t>
  </si>
  <si>
    <r>
      <rPr>
        <sz val="10"/>
        <rFont val="Noto Sans CJK SC"/>
        <family val="2"/>
      </rPr>
      <t xml:space="preserve">成田威可 → </t>
    </r>
    <r>
      <rPr>
        <sz val="10"/>
        <rFont val="Arial"/>
        <family val="0"/>
        <charset val="1"/>
      </rPr>
      <t xml:space="preserve">T2 </t>
    </r>
    <r>
      <rPr>
        <sz val="10"/>
        <rFont val="Noto Sans CJK SC"/>
        <family val="2"/>
      </rPr>
      <t xml:space="preserve">報到</t>
    </r>
  </si>
  <si>
    <t xml:space="preserve">08:55</t>
  </si>
  <si>
    <r>
      <rPr>
        <sz val="10"/>
        <rFont val="Arial"/>
        <family val="0"/>
        <charset val="1"/>
      </rPr>
      <t xml:space="preserve">JL8663 </t>
    </r>
    <r>
      <rPr>
        <sz val="10"/>
        <rFont val="Noto Sans CJK SC"/>
        <family val="2"/>
      </rPr>
      <t xml:space="preserve">起飛</t>
    </r>
  </si>
  <si>
    <t xml:space="preserve">抵達桃園</t>
  </si>
  <si>
    <t xml:space="preserve">🍱 旅行結算 ｜ 誰欠誰多少錢</t>
  </si>
  <si>
    <r>
      <rPr>
        <i val="true"/>
        <sz val="9"/>
        <color rgb="FF666666"/>
        <rFont val="Noto Sans CJK SC"/>
        <family val="2"/>
      </rPr>
      <t xml:space="preserve">💡 計算原則：每人應分擔的金額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總花費（含共付）</t>
    </r>
    <r>
      <rPr>
        <i val="true"/>
        <sz val="9"/>
        <color rgb="FF666666"/>
        <rFont val="Arial"/>
        <family val="0"/>
        <charset val="1"/>
      </rPr>
      <t xml:space="preserve">÷ </t>
    </r>
    <r>
      <rPr>
        <i val="true"/>
        <sz val="9"/>
        <color rgb="FF666666"/>
        <rFont val="Noto Sans CJK SC"/>
        <family val="2"/>
      </rPr>
      <t xml:space="preserve">分擔人數（預設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人）</t>
    </r>
  </si>
  <si>
    <t xml:space="preserve">分擔人數：</t>
  </si>
  <si>
    <r>
      <rPr>
        <i val="true"/>
        <sz val="9"/>
        <color rgb="FF666666"/>
        <rFont val="Noto Sans CJK SC"/>
        <family val="2"/>
      </rPr>
      <t xml:space="preserve">（可改、預設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人）</t>
    </r>
  </si>
  <si>
    <t xml:space="preserve">▼ 各人結算</t>
  </si>
  <si>
    <t xml:space="preserve">已支付</t>
  </si>
  <si>
    <t xml:space="preserve">應分擔</t>
  </si>
  <si>
    <t xml:space="preserve">差額</t>
  </si>
  <si>
    <t xml:space="preserve">結算結果</t>
  </si>
  <si>
    <t xml:space="preserve">—</t>
  </si>
  <si>
    <t xml:space="preserve">共付（已平均分攤至各人應分擔）</t>
  </si>
  <si>
    <r>
      <rPr>
        <b val="true"/>
        <sz val="10"/>
        <rFont val="Noto Sans CJK SC"/>
        <family val="2"/>
      </rPr>
      <t xml:space="preserve">（差額應為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、表示計算正確）</t>
    </r>
  </si>
  <si>
    <t xml:space="preserve">▼ 結算建議（簡化付款）</t>
  </si>
  <si>
    <t xml:space="preserve">💡 通常旅行結束後、應由「應給出」最多的人，付給「應收回」最多的人。</t>
  </si>
  <si>
    <r>
      <rPr>
        <i val="true"/>
        <sz val="9"/>
        <color rgb="FF666666"/>
        <rFont val="Noto Sans CJK SC"/>
        <family val="2"/>
      </rPr>
      <t xml:space="preserve">💡 例如：老婆應給出 </t>
    </r>
    <r>
      <rPr>
        <i val="true"/>
        <sz val="9"/>
        <color rgb="FF666666"/>
        <rFont val="Arial"/>
        <family val="0"/>
        <charset val="1"/>
      </rPr>
      <t xml:space="preserve">NT$ 5,000</t>
    </r>
    <r>
      <rPr>
        <i val="true"/>
        <sz val="9"/>
        <color rgb="FF666666"/>
        <rFont val="Noto Sans CJK SC"/>
        <family val="2"/>
      </rPr>
      <t xml:space="preserve">、爸爸應收回 </t>
    </r>
    <r>
      <rPr>
        <i val="true"/>
        <sz val="9"/>
        <color rgb="FF666666"/>
        <rFont val="Arial"/>
        <family val="0"/>
        <charset val="1"/>
      </rPr>
      <t xml:space="preserve">NT$ 8,000</t>
    </r>
    <r>
      <rPr>
        <i val="true"/>
        <sz val="9"/>
        <color rgb="FF666666"/>
        <rFont val="Noto Sans CJK SC"/>
        <family val="2"/>
      </rPr>
      <t xml:space="preserve">、媽媽應收回 </t>
    </r>
    <r>
      <rPr>
        <i val="true"/>
        <sz val="9"/>
        <color rgb="FF666666"/>
        <rFont val="Arial"/>
        <family val="0"/>
        <charset val="1"/>
      </rPr>
      <t xml:space="preserve">NT$ 2,000</t>
    </r>
  </si>
  <si>
    <r>
      <rPr>
        <i val="true"/>
        <sz val="9"/>
        <color rgb="FF666666"/>
        <rFont val="Noto Sans CJK SC"/>
        <family val="2"/>
      </rPr>
      <t xml:space="preserve">💡 → 老婆給爸爸 </t>
    </r>
    <r>
      <rPr>
        <i val="true"/>
        <sz val="9"/>
        <color rgb="FF666666"/>
        <rFont val="Arial"/>
        <family val="0"/>
        <charset val="1"/>
      </rPr>
      <t xml:space="preserve">NT$ 5,000</t>
    </r>
    <r>
      <rPr>
        <i val="true"/>
        <sz val="9"/>
        <color rgb="FF666666"/>
        <rFont val="Noto Sans CJK SC"/>
        <family val="2"/>
      </rPr>
      <t xml:space="preserve">，剩下爸爸與媽媽自行結算 </t>
    </r>
    <r>
      <rPr>
        <i val="true"/>
        <sz val="9"/>
        <color rgb="FF666666"/>
        <rFont val="Arial"/>
        <family val="0"/>
        <charset val="1"/>
      </rPr>
      <t xml:space="preserve">NT$ 3,000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5,000</t>
    </r>
    <r>
      <rPr>
        <i val="true"/>
        <sz val="9"/>
        <color rgb="FF666666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</si>
  <si>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📝 也可以開啟 </t>
    </r>
    <r>
      <rPr>
        <sz val="10"/>
        <rFont val="Arial"/>
        <family val="0"/>
        <charset val="1"/>
      </rPr>
      <t xml:space="preserve">PayPay / LINE Pay / </t>
    </r>
    <r>
      <rPr>
        <sz val="10"/>
        <rFont val="Noto Sans CJK SC"/>
        <family val="2"/>
      </rPr>
      <t xml:space="preserve">銀行轉帳處理。</t>
    </r>
  </si>
  <si>
    <r>
      <rPr>
        <sz val="10"/>
        <rFont val="Noto Sans CJK SC"/>
        <family val="2"/>
      </rPr>
      <t xml:space="preserve">📝 兒童（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歲）的部分通常由爸媽分擔，結算時依約定處理。</t>
    </r>
  </si>
  <si>
    <r>
      <rPr>
        <b val="true"/>
        <sz val="14"/>
        <color rgb="FFFFFFFF"/>
        <rFont val="Noto Sans CJK SC"/>
        <family val="2"/>
      </rPr>
      <t xml:space="preserve">📖 家庭共享 </t>
    </r>
    <r>
      <rPr>
        <b val="true"/>
        <sz val="14"/>
        <color rgb="FFFFFFFF"/>
        <rFont val="Arial"/>
        <family val="0"/>
        <charset val="1"/>
      </rPr>
      <t xml:space="preserve">Google Sheets </t>
    </r>
    <r>
      <rPr>
        <b val="true"/>
        <sz val="14"/>
        <color rgb="FFFFFFFF"/>
        <rFont val="Noto Sans CJK SC"/>
        <family val="2"/>
      </rPr>
      <t xml:space="preserve">使用說明</t>
    </r>
  </si>
  <si>
    <t xml:space="preserve">🎯 這份試算表是做什麼的？</t>
  </si>
  <si>
    <r>
      <rPr>
        <i val="true"/>
        <sz val="9"/>
        <color rgb="FF666666"/>
        <rFont val="Noto Sans CJK SC"/>
        <family val="2"/>
      </rPr>
      <t xml:space="preserve">讓你和家人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人共用一份試算表，記錄旅行花費和景點完成進度。</t>
    </r>
  </si>
  <si>
    <r>
      <rPr>
        <i val="true"/>
        <sz val="9"/>
        <color rgb="FF666666"/>
        <rFont val="Arial"/>
        <family val="0"/>
        <charset val="1"/>
      </rPr>
      <t xml:space="preserve">App </t>
    </r>
    <r>
      <rPr>
        <i val="true"/>
        <sz val="9"/>
        <color rgb="FF666666"/>
        <rFont val="Noto Sans CJK SC"/>
        <family val="2"/>
      </rPr>
      <t xml:space="preserve">主要記錄、</t>
    </r>
    <r>
      <rPr>
        <i val="true"/>
        <sz val="9"/>
        <color rgb="FF666666"/>
        <rFont val="Arial"/>
        <family val="0"/>
        <charset val="1"/>
      </rPr>
      <t xml:space="preserve">Sheets </t>
    </r>
    <r>
      <rPr>
        <i val="true"/>
        <sz val="9"/>
        <color rgb="FF666666"/>
        <rFont val="Noto Sans CJK SC"/>
        <family val="2"/>
      </rPr>
      <t xml:space="preserve">用來和家人分享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結算。</t>
    </r>
  </si>
  <si>
    <r>
      <rPr>
        <b val="true"/>
        <sz val="12"/>
        <color rgb="FF1F4E78"/>
        <rFont val="Noto Sans CJK SC"/>
        <family val="2"/>
      </rPr>
      <t xml:space="preserve">🚀 第一次設定（旅行前 </t>
    </r>
    <r>
      <rPr>
        <b val="true"/>
        <sz val="12"/>
        <color rgb="FF1F4E78"/>
        <rFont val="Arial"/>
        <family val="0"/>
        <charset val="1"/>
      </rPr>
      <t xml:space="preserve">1 </t>
    </r>
    <r>
      <rPr>
        <b val="true"/>
        <sz val="12"/>
        <color rgb="FF1F4E78"/>
        <rFont val="Noto Sans CJK SC"/>
        <family val="2"/>
      </rPr>
      <t xml:space="preserve">週）</t>
    </r>
  </si>
  <si>
    <r>
      <rPr>
        <b val="true"/>
        <sz val="11"/>
        <color rgb="FFC00000"/>
        <rFont val="Arial"/>
        <family val="0"/>
        <charset val="1"/>
      </rPr>
      <t xml:space="preserve">Step 1</t>
    </r>
    <r>
      <rPr>
        <b val="true"/>
        <sz val="11"/>
        <color rgb="FFC00000"/>
        <rFont val="Noto Sans CJK SC"/>
        <family val="2"/>
      </rPr>
      <t xml:space="preserve">：上傳到 </t>
    </r>
    <r>
      <rPr>
        <b val="true"/>
        <sz val="11"/>
        <color rgb="FFC00000"/>
        <rFont val="Arial"/>
        <family val="0"/>
        <charset val="1"/>
      </rPr>
      <t xml:space="preserve">Google Sheets</t>
    </r>
  </si>
  <si>
    <r>
      <rPr>
        <i val="true"/>
        <sz val="9"/>
        <color rgb="FF666666"/>
        <rFont val="Arial"/>
        <family val="0"/>
        <charset val="1"/>
      </rPr>
      <t xml:space="preserve">  1. </t>
    </r>
    <r>
      <rPr>
        <i val="true"/>
        <sz val="9"/>
        <color rgb="FF666666"/>
        <rFont val="Noto Sans CJK SC"/>
        <family val="2"/>
      </rPr>
      <t xml:space="preserve">打開 </t>
    </r>
    <r>
      <rPr>
        <i val="true"/>
        <sz val="9"/>
        <color rgb="FF666666"/>
        <rFont val="Arial"/>
        <family val="0"/>
        <charset val="1"/>
      </rPr>
      <t xml:space="preserve">Google Drive (drive.google.com)</t>
    </r>
  </si>
  <si>
    <r>
      <rPr>
        <i val="true"/>
        <sz val="9"/>
        <color rgb="FF666666"/>
        <rFont val="Arial"/>
        <family val="0"/>
        <charset val="1"/>
      </rPr>
      <t xml:space="preserve">  2. </t>
    </r>
    <r>
      <rPr>
        <i val="true"/>
        <sz val="9"/>
        <color rgb="FF666666"/>
        <rFont val="Noto Sans CJK SC"/>
        <family val="2"/>
      </rPr>
      <t xml:space="preserve">點「新增 → 檔案上傳」上傳這份 </t>
    </r>
    <r>
      <rPr>
        <i val="true"/>
        <sz val="9"/>
        <color rgb="FF666666"/>
        <rFont val="Arial"/>
        <family val="0"/>
        <charset val="1"/>
      </rPr>
      <t xml:space="preserve">Excel</t>
    </r>
  </si>
  <si>
    <r>
      <rPr>
        <i val="true"/>
        <sz val="9"/>
        <color rgb="FF666666"/>
        <rFont val="Arial"/>
        <family val="0"/>
        <charset val="1"/>
      </rPr>
      <t xml:space="preserve">  3. </t>
    </r>
    <r>
      <rPr>
        <i val="true"/>
        <sz val="9"/>
        <color rgb="FF666666"/>
        <rFont val="Noto Sans CJK SC"/>
        <family val="2"/>
      </rPr>
      <t xml:space="preserve">上傳後「右鍵 → </t>
    </r>
    <r>
      <rPr>
        <i val="true"/>
        <sz val="9"/>
        <color rgb="FF666666"/>
        <rFont val="Arial"/>
        <family val="0"/>
        <charset val="1"/>
      </rPr>
      <t xml:space="preserve">Google </t>
    </r>
    <r>
      <rPr>
        <i val="true"/>
        <sz val="9"/>
        <color rgb="FF666666"/>
        <rFont val="Noto Sans CJK SC"/>
        <family val="2"/>
      </rPr>
      <t xml:space="preserve">試算表開啟」</t>
    </r>
  </si>
  <si>
    <r>
      <rPr>
        <i val="true"/>
        <sz val="9"/>
        <color rgb="FF666666"/>
        <rFont val="Arial"/>
        <family val="0"/>
        <charset val="1"/>
      </rPr>
      <t xml:space="preserve">  4. </t>
    </r>
    <r>
      <rPr>
        <i val="true"/>
        <sz val="9"/>
        <color rgb="FF666666"/>
        <rFont val="Noto Sans CJK SC"/>
        <family val="2"/>
      </rPr>
      <t xml:space="preserve">完成轉檔後可刪除原 </t>
    </r>
    <r>
      <rPr>
        <i val="true"/>
        <sz val="9"/>
        <color rgb="FF666666"/>
        <rFont val="Arial"/>
        <family val="0"/>
        <charset val="1"/>
      </rPr>
      <t xml:space="preserve">Excel </t>
    </r>
    <r>
      <rPr>
        <i val="true"/>
        <sz val="9"/>
        <color rgb="FF666666"/>
        <rFont val="Noto Sans CJK SC"/>
        <family val="2"/>
      </rPr>
      <t xml:space="preserve">檔</t>
    </r>
  </si>
  <si>
    <r>
      <rPr>
        <b val="true"/>
        <sz val="11"/>
        <color rgb="FFC00000"/>
        <rFont val="Arial"/>
        <family val="0"/>
        <charset val="1"/>
      </rPr>
      <t xml:space="preserve">Step 2</t>
    </r>
    <r>
      <rPr>
        <b val="true"/>
        <sz val="11"/>
        <color rgb="FFC00000"/>
        <rFont val="Noto Sans CJK SC"/>
        <family val="2"/>
      </rPr>
      <t xml:space="preserve">：分享給家人</t>
    </r>
  </si>
  <si>
    <r>
      <rPr>
        <i val="true"/>
        <sz val="9"/>
        <color rgb="FF666666"/>
        <rFont val="Arial"/>
        <family val="0"/>
        <charset val="1"/>
      </rPr>
      <t xml:space="preserve">  1. </t>
    </r>
    <r>
      <rPr>
        <i val="true"/>
        <sz val="9"/>
        <color rgb="FF666666"/>
        <rFont val="Noto Sans CJK SC"/>
        <family val="2"/>
      </rPr>
      <t xml:space="preserve">在 </t>
    </r>
    <r>
      <rPr>
        <i val="true"/>
        <sz val="9"/>
        <color rgb="FF666666"/>
        <rFont val="Arial"/>
        <family val="0"/>
        <charset val="1"/>
      </rPr>
      <t xml:space="preserve">Google Sheets </t>
    </r>
    <r>
      <rPr>
        <i val="true"/>
        <sz val="9"/>
        <color rgb="FF666666"/>
        <rFont val="Noto Sans CJK SC"/>
        <family val="2"/>
      </rPr>
      <t xml:space="preserve">點右上「共用」</t>
    </r>
  </si>
  <si>
    <r>
      <rPr>
        <i val="true"/>
        <sz val="9"/>
        <color rgb="FF666666"/>
        <rFont val="Arial"/>
        <family val="0"/>
        <charset val="1"/>
      </rPr>
      <t xml:space="preserve">  2. </t>
    </r>
    <r>
      <rPr>
        <i val="true"/>
        <sz val="9"/>
        <color rgb="FF666666"/>
        <rFont val="Noto Sans CJK SC"/>
        <family val="2"/>
      </rPr>
      <t xml:space="preserve">加入家人的 </t>
    </r>
    <r>
      <rPr>
        <i val="true"/>
        <sz val="9"/>
        <color rgb="FF666666"/>
        <rFont val="Arial"/>
        <family val="0"/>
        <charset val="1"/>
      </rPr>
      <t xml:space="preserve">Email</t>
    </r>
    <r>
      <rPr>
        <i val="true"/>
        <sz val="9"/>
        <color rgb="FF666666"/>
        <rFont val="Noto Sans CJK SC"/>
        <family val="2"/>
      </rPr>
      <t xml:space="preserve">（老婆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媽媽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兒子）</t>
    </r>
  </si>
  <si>
    <r>
      <rPr>
        <i val="true"/>
        <sz val="9"/>
        <color rgb="FF666666"/>
        <rFont val="Arial"/>
        <family val="0"/>
        <charset val="1"/>
      </rPr>
      <t xml:space="preserve">  3. </t>
    </r>
    <r>
      <rPr>
        <i val="true"/>
        <sz val="9"/>
        <color rgb="FF666666"/>
        <rFont val="Noto Sans CJK SC"/>
        <family val="2"/>
      </rPr>
      <t xml:space="preserve">權限選「編輯者」</t>
    </r>
  </si>
  <si>
    <r>
      <rPr>
        <i val="true"/>
        <sz val="9"/>
        <color rgb="FF666666"/>
        <rFont val="Arial"/>
        <family val="0"/>
        <charset val="1"/>
      </rPr>
      <t xml:space="preserve">  4. </t>
    </r>
    <r>
      <rPr>
        <i val="true"/>
        <sz val="9"/>
        <color rgb="FF666666"/>
        <rFont val="Noto Sans CJK SC"/>
        <family val="2"/>
      </rPr>
      <t xml:space="preserve">也可改「知道連結的任何人 → 編輯者」</t>
    </r>
  </si>
  <si>
    <r>
      <rPr>
        <b val="true"/>
        <sz val="11"/>
        <color rgb="FFC00000"/>
        <rFont val="Arial"/>
        <family val="0"/>
        <charset val="1"/>
      </rPr>
      <t xml:space="preserve">Step 3</t>
    </r>
    <r>
      <rPr>
        <b val="true"/>
        <sz val="11"/>
        <color rgb="FFC00000"/>
        <rFont val="Noto Sans CJK SC"/>
        <family val="2"/>
      </rPr>
      <t xml:space="preserve">：設定匯率</t>
    </r>
  </si>
  <si>
    <r>
      <rPr>
        <i val="true"/>
        <sz val="9"/>
        <color rgb="FF666666"/>
        <rFont val="Arial"/>
        <family val="0"/>
        <charset val="1"/>
      </rPr>
      <t xml:space="preserve">  1. </t>
    </r>
    <r>
      <rPr>
        <i val="true"/>
        <sz val="9"/>
        <color rgb="FF666666"/>
        <rFont val="Noto Sans CJK SC"/>
        <family val="2"/>
      </rPr>
      <t xml:space="preserve">切換到「花費明細」分頁</t>
    </r>
  </si>
  <si>
    <r>
      <rPr>
        <i val="true"/>
        <sz val="9"/>
        <color rgb="FF666666"/>
        <rFont val="Arial"/>
        <family val="0"/>
        <charset val="1"/>
      </rPr>
      <t xml:space="preserve">  2. </t>
    </r>
    <r>
      <rPr>
        <i val="true"/>
        <sz val="9"/>
        <color rgb="FF666666"/>
        <rFont val="Noto Sans CJK SC"/>
        <family val="2"/>
      </rPr>
      <t xml:space="preserve">修改 </t>
    </r>
    <r>
      <rPr>
        <i val="true"/>
        <sz val="9"/>
        <color rgb="FF666666"/>
        <rFont val="Arial"/>
        <family val="0"/>
        <charset val="1"/>
      </rPr>
      <t xml:space="preserve">I3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J3 </t>
    </r>
    <r>
      <rPr>
        <i val="true"/>
        <sz val="9"/>
        <color rgb="FF666666"/>
        <rFont val="Noto Sans CJK SC"/>
        <family val="2"/>
      </rPr>
      <t xml:space="preserve">儲存格的匯率</t>
    </r>
  </si>
  <si>
    <r>
      <rPr>
        <i val="true"/>
        <sz val="9"/>
        <color rgb="FF666666"/>
        <rFont val="Arial"/>
        <family val="0"/>
        <charset val="1"/>
      </rPr>
      <t xml:space="preserve">  3. JPY </t>
    </r>
    <r>
      <rPr>
        <i val="true"/>
        <sz val="9"/>
        <color rgb="FF666666"/>
        <rFont val="Noto Sans CJK SC"/>
        <family val="2"/>
      </rPr>
      <t xml:space="preserve">預設 </t>
    </r>
    <r>
      <rPr>
        <i val="true"/>
        <sz val="9"/>
        <color rgb="FF666666"/>
        <rFont val="Arial"/>
        <family val="0"/>
        <charset val="1"/>
      </rPr>
      <t xml:space="preserve">0.21</t>
    </r>
    <r>
      <rPr>
        <i val="true"/>
        <sz val="9"/>
        <color rgb="FF666666"/>
        <rFont val="Noto Sans CJK SC"/>
        <family val="2"/>
      </rPr>
      <t xml:space="preserve">（旅行前 </t>
    </r>
    <r>
      <rPr>
        <i val="true"/>
        <sz val="9"/>
        <color rgb="FF666666"/>
        <rFont val="Arial"/>
        <family val="0"/>
        <charset val="1"/>
      </rPr>
      <t xml:space="preserve">Google</t>
    </r>
    <r>
      <rPr>
        <i val="true"/>
        <sz val="9"/>
        <color rgb="FF666666"/>
        <rFont val="Noto Sans CJK SC"/>
        <family val="2"/>
      </rPr>
      <t xml:space="preserve">「日圓 台幣」確認）</t>
    </r>
  </si>
  <si>
    <r>
      <rPr>
        <i val="true"/>
        <sz val="9"/>
        <color rgb="FF666666"/>
        <rFont val="Arial"/>
        <family val="0"/>
        <charset val="1"/>
      </rPr>
      <t xml:space="preserve">  4. USD </t>
    </r>
    <r>
      <rPr>
        <i val="true"/>
        <sz val="9"/>
        <color rgb="FF666666"/>
        <rFont val="Noto Sans CJK SC"/>
        <family val="2"/>
      </rPr>
      <t xml:space="preserve">預設 </t>
    </r>
    <r>
      <rPr>
        <i val="true"/>
        <sz val="9"/>
        <color rgb="FF666666"/>
        <rFont val="Arial"/>
        <family val="0"/>
        <charset val="1"/>
      </rPr>
      <t xml:space="preserve">32.0</t>
    </r>
    <r>
      <rPr>
        <i val="true"/>
        <sz val="9"/>
        <color rgb="FF666666"/>
        <rFont val="Noto Sans CJK SC"/>
        <family val="2"/>
      </rPr>
      <t xml:space="preserve">（不常用、確認最新匯率）</t>
    </r>
  </si>
  <si>
    <r>
      <rPr>
        <b val="true"/>
        <sz val="12"/>
        <color rgb="FF1F4E78"/>
        <rFont val="Arial"/>
        <family val="0"/>
        <charset val="1"/>
      </rPr>
      <t xml:space="preserve">📊 4 </t>
    </r>
    <r>
      <rPr>
        <b val="true"/>
        <sz val="12"/>
        <color rgb="FF1F4E78"/>
        <rFont val="Noto Sans CJK SC"/>
        <family val="2"/>
      </rPr>
      <t xml:space="preserve">個分頁說明</t>
    </r>
  </si>
  <si>
    <r>
      <rPr>
        <b val="true"/>
        <sz val="11"/>
        <color rgb="FFC00000"/>
        <rFont val="Arial"/>
        <family val="0"/>
        <charset val="1"/>
      </rPr>
      <t xml:space="preserve">Dashboard</t>
    </r>
    <r>
      <rPr>
        <b val="true"/>
        <sz val="11"/>
        <color rgb="FFC00000"/>
        <rFont val="Noto Sans CJK SC"/>
        <family val="2"/>
      </rPr>
      <t xml:space="preserve">（總覽）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</si>
  <si>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自動計算所有總計、不需要編輯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</si>
  <si>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顯示旅程進度、預算狀況、各人支付、分類分析</t>
    </r>
  </si>
  <si>
    <t xml:space="preserve">花費明細（你主要編輯這頁）</t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</si>
  <si>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每筆花費獨立一行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</si>
  <si>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從 </t>
    </r>
    <r>
      <rPr>
        <i val="true"/>
        <sz val="9"/>
        <color rgb="FF666666"/>
        <rFont val="Arial"/>
        <family val="0"/>
        <charset val="1"/>
      </rPr>
      <t xml:space="preserve">HTML App</t>
    </r>
    <r>
      <rPr>
        <i val="true"/>
        <sz val="9"/>
        <color rgb="FF666666"/>
        <rFont val="Noto Sans CJK SC"/>
        <family val="2"/>
      </rPr>
      <t xml:space="preserve">「複製今日資料」貼到這頁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</si>
  <si>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或家人手動輸入也可</t>
    </r>
  </si>
  <si>
    <r>
      <rPr>
        <i val="true"/>
        <sz val="9"/>
        <color rgb="FF666666"/>
        <rFont val="Arial"/>
        <family val="0"/>
        <charset val="1"/>
      </rPr>
      <t xml:space="preserve">  - H </t>
    </r>
    <r>
      <rPr>
        <i val="true"/>
        <sz val="9"/>
        <color rgb="FF666666"/>
        <rFont val="Noto Sans CJK SC"/>
        <family val="2"/>
      </rPr>
      <t xml:space="preserve">欄會自動換算 </t>
    </r>
    <r>
      <rPr>
        <i val="true"/>
        <sz val="9"/>
        <color rgb="FF666666"/>
        <rFont val="Arial"/>
        <family val="0"/>
        <charset val="1"/>
      </rPr>
      <t xml:space="preserve">NT$</t>
    </r>
  </si>
  <si>
    <t xml:space="preserve">景點完成進度</t>
  </si>
  <si>
    <r>
      <rPr>
        <i val="true"/>
        <sz val="9"/>
        <color rgb="FF666666"/>
        <rFont val="Arial"/>
        <family val="0"/>
        <charset val="1"/>
      </rPr>
      <t xml:space="preserve">  - 35 </t>
    </r>
    <r>
      <rPr>
        <i val="true"/>
        <sz val="9"/>
        <color rgb="FF666666"/>
        <rFont val="Noto Sans CJK SC"/>
        <family val="2"/>
      </rPr>
      <t xml:space="preserve">個景點預先列出</t>
    </r>
  </si>
  <si>
    <r>
      <rPr>
        <i val="true"/>
        <sz val="9"/>
        <color rgb="FF666666"/>
        <rFont val="Arial"/>
        <family val="0"/>
        <charset val="1"/>
      </rPr>
      <t xml:space="preserve">  - E </t>
    </r>
    <r>
      <rPr>
        <i val="true"/>
        <sz val="9"/>
        <color rgb="FF666666"/>
        <rFont val="Noto Sans CJK SC"/>
        <family val="2"/>
      </rPr>
      <t xml:space="preserve">欄打 ☑ 表示完成（可複製貼上）</t>
    </r>
  </si>
  <si>
    <r>
      <rPr>
        <i val="true"/>
        <sz val="9"/>
        <color rgb="FF666666"/>
        <rFont val="Arial"/>
        <family val="0"/>
        <charset val="1"/>
      </rPr>
      <t xml:space="preserve">  - F </t>
    </r>
    <r>
      <rPr>
        <i val="true"/>
        <sz val="9"/>
        <color rgb="FF666666"/>
        <rFont val="Noto Sans CJK SC"/>
        <family val="2"/>
      </rPr>
      <t xml:space="preserve">欄填 </t>
    </r>
    <r>
      <rPr>
        <i val="true"/>
        <sz val="9"/>
        <color rgb="FF666666"/>
        <rFont val="Arial"/>
        <family val="0"/>
        <charset val="1"/>
      </rPr>
      <t xml:space="preserve">1-5 </t>
    </r>
    <r>
      <rPr>
        <i val="true"/>
        <sz val="9"/>
        <color rgb="FF666666"/>
        <rFont val="Noto Sans CJK SC"/>
        <family val="2"/>
      </rPr>
      <t xml:space="preserve">評分</t>
    </r>
  </si>
  <si>
    <r>
      <rPr>
        <i val="true"/>
        <sz val="9"/>
        <color rgb="FF666666"/>
        <rFont val="Arial"/>
        <family val="0"/>
        <charset val="1"/>
      </rPr>
      <t xml:space="preserve">  - G </t>
    </r>
    <r>
      <rPr>
        <i val="true"/>
        <sz val="9"/>
        <color rgb="FF666666"/>
        <rFont val="Noto Sans CJK SC"/>
        <family val="2"/>
      </rPr>
      <t xml:space="preserve">欄寫備註</t>
    </r>
  </si>
  <si>
    <t xml:space="preserve">結算</t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</si>
  <si>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自動計算誰欠誰多少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</si>
  <si>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可改「分擔人數」（預設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）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</si>
  <si>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旅行結束時看這頁付款</t>
    </r>
  </si>
  <si>
    <r>
      <rPr>
        <b val="true"/>
        <sz val="12"/>
        <color rgb="FF1F4E78"/>
        <rFont val="Noto Sans CJK SC"/>
        <family val="2"/>
      </rPr>
      <t xml:space="preserve">📱 與 </t>
    </r>
    <r>
      <rPr>
        <b val="true"/>
        <sz val="12"/>
        <color rgb="FF1F4E78"/>
        <rFont val="Arial"/>
        <family val="0"/>
        <charset val="1"/>
      </rPr>
      <t xml:space="preserve">HTML App </t>
    </r>
    <r>
      <rPr>
        <b val="true"/>
        <sz val="12"/>
        <color rgb="FF1F4E78"/>
        <rFont val="Noto Sans CJK SC"/>
        <family val="2"/>
      </rPr>
      <t xml:space="preserve">整合方式</t>
    </r>
  </si>
  <si>
    <r>
      <rPr>
        <b val="true"/>
        <sz val="11"/>
        <color rgb="FFC00000"/>
        <rFont val="Noto Sans CJK SC"/>
        <family val="2"/>
      </rPr>
      <t xml:space="preserve">方式 </t>
    </r>
    <r>
      <rPr>
        <b val="true"/>
        <sz val="11"/>
        <color rgb="FFC00000"/>
        <rFont val="Arial"/>
        <family val="0"/>
        <charset val="1"/>
      </rPr>
      <t xml:space="preserve">1</t>
    </r>
    <r>
      <rPr>
        <b val="true"/>
        <sz val="11"/>
        <color rgb="FFC00000"/>
        <rFont val="Noto Sans CJK SC"/>
        <family val="2"/>
      </rPr>
      <t xml:space="preserve">：手動同步（推薦）</t>
    </r>
  </si>
  <si>
    <r>
      <rPr>
        <i val="true"/>
        <sz val="9"/>
        <color rgb="FF666666"/>
        <rFont val="Arial"/>
        <family val="0"/>
        <charset val="1"/>
      </rPr>
      <t xml:space="preserve">  1. </t>
    </r>
    <r>
      <rPr>
        <i val="true"/>
        <sz val="9"/>
        <color rgb="FF666666"/>
        <rFont val="Noto Sans CJK SC"/>
        <family val="2"/>
      </rPr>
      <t xml:space="preserve">在 </t>
    </r>
    <r>
      <rPr>
        <i val="true"/>
        <sz val="9"/>
        <color rgb="FF666666"/>
        <rFont val="Arial"/>
        <family val="0"/>
        <charset val="1"/>
      </rPr>
      <t xml:space="preserve">HTML App </t>
    </r>
    <r>
      <rPr>
        <i val="true"/>
        <sz val="9"/>
        <color rgb="FF666666"/>
        <rFont val="Noto Sans CJK SC"/>
        <family val="2"/>
      </rPr>
      <t xml:space="preserve">中記錄花費</t>
    </r>
  </si>
  <si>
    <r>
      <rPr>
        <i val="true"/>
        <sz val="9"/>
        <color rgb="FF666666"/>
        <rFont val="Arial"/>
        <family val="0"/>
        <charset val="1"/>
      </rPr>
      <t xml:space="preserve">  2. </t>
    </r>
    <r>
      <rPr>
        <i val="true"/>
        <sz val="9"/>
        <color rgb="FF666666"/>
        <rFont val="Noto Sans CJK SC"/>
        <family val="2"/>
      </rPr>
      <t xml:space="preserve">每天結束點 </t>
    </r>
    <r>
      <rPr>
        <i val="true"/>
        <sz val="9"/>
        <color rgb="FF666666"/>
        <rFont val="Arial"/>
        <family val="0"/>
        <charset val="1"/>
      </rPr>
      <t xml:space="preserve">App </t>
    </r>
    <r>
      <rPr>
        <i val="true"/>
        <sz val="9"/>
        <color rgb="FF666666"/>
        <rFont val="Noto Sans CJK SC"/>
        <family val="2"/>
      </rPr>
      <t xml:space="preserve">的「📤 匯出今日資料」</t>
    </r>
  </si>
  <si>
    <r>
      <rPr>
        <i val="true"/>
        <sz val="9"/>
        <color rgb="FF666666"/>
        <rFont val="Arial"/>
        <family val="0"/>
        <charset val="1"/>
      </rPr>
      <t xml:space="preserve">  3. </t>
    </r>
    <r>
      <rPr>
        <i val="true"/>
        <sz val="9"/>
        <color rgb="FF666666"/>
        <rFont val="Noto Sans CJK SC"/>
        <family val="2"/>
      </rPr>
      <t xml:space="preserve">下載 </t>
    </r>
    <r>
      <rPr>
        <i val="true"/>
        <sz val="9"/>
        <color rgb="FF666666"/>
        <rFont val="Arial"/>
        <family val="0"/>
        <charset val="1"/>
      </rPr>
      <t xml:space="preserve">CSV </t>
    </r>
    <r>
      <rPr>
        <i val="true"/>
        <sz val="9"/>
        <color rgb="FF666666"/>
        <rFont val="Noto Sans CJK SC"/>
        <family val="2"/>
      </rPr>
      <t xml:space="preserve">檔、複製內容</t>
    </r>
  </si>
  <si>
    <r>
      <rPr>
        <i val="true"/>
        <sz val="9"/>
        <color rgb="FF666666"/>
        <rFont val="Arial"/>
        <family val="0"/>
        <charset val="1"/>
      </rPr>
      <t xml:space="preserve">  4. </t>
    </r>
    <r>
      <rPr>
        <i val="true"/>
        <sz val="9"/>
        <color rgb="FF666666"/>
        <rFont val="Noto Sans CJK SC"/>
        <family val="2"/>
      </rPr>
      <t xml:space="preserve">貼到「花費明細」分頁的下一個空白列</t>
    </r>
  </si>
  <si>
    <r>
      <rPr>
        <b val="true"/>
        <sz val="11"/>
        <color rgb="FFC00000"/>
        <rFont val="Noto Sans CJK SC"/>
        <family val="2"/>
      </rPr>
      <t xml:space="preserve">方式 </t>
    </r>
    <r>
      <rPr>
        <b val="true"/>
        <sz val="11"/>
        <color rgb="FFC00000"/>
        <rFont val="Arial"/>
        <family val="0"/>
        <charset val="1"/>
      </rPr>
      <t xml:space="preserve">2</t>
    </r>
    <r>
      <rPr>
        <b val="true"/>
        <sz val="11"/>
        <color rgb="FFC00000"/>
        <rFont val="Noto Sans CJK SC"/>
        <family val="2"/>
      </rPr>
      <t xml:space="preserve">：家人也可獨立輸入</t>
    </r>
  </si>
  <si>
    <r>
      <rPr>
        <i val="true"/>
        <sz val="9"/>
        <color rgb="FF666666"/>
        <rFont val="Arial"/>
        <family val="0"/>
        <charset val="1"/>
      </rPr>
      <t xml:space="preserve">  1. </t>
    </r>
    <r>
      <rPr>
        <i val="true"/>
        <sz val="9"/>
        <color rgb="FF666666"/>
        <rFont val="Noto Sans CJK SC"/>
        <family val="2"/>
      </rPr>
      <t xml:space="preserve">老婆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媽媽自己有花的錢，直接在 </t>
    </r>
    <r>
      <rPr>
        <i val="true"/>
        <sz val="9"/>
        <color rgb="FF666666"/>
        <rFont val="Arial"/>
        <family val="0"/>
        <charset val="1"/>
      </rPr>
      <t xml:space="preserve">Sheets </t>
    </r>
    <r>
      <rPr>
        <i val="true"/>
        <sz val="9"/>
        <color rgb="FF666666"/>
        <rFont val="Noto Sans CJK SC"/>
        <family val="2"/>
      </rPr>
      <t xml:space="preserve">輸入</t>
    </r>
  </si>
  <si>
    <r>
      <rPr>
        <i val="true"/>
        <sz val="9"/>
        <color rgb="FF666666"/>
        <rFont val="Arial"/>
        <family val="0"/>
        <charset val="1"/>
      </rPr>
      <t xml:space="preserve">  2. </t>
    </r>
    <r>
      <rPr>
        <i val="true"/>
        <sz val="9"/>
        <color rgb="FF666666"/>
        <rFont val="Noto Sans CJK SC"/>
        <family val="2"/>
      </rPr>
      <t xml:space="preserve">不用透過 </t>
    </r>
    <r>
      <rPr>
        <i val="true"/>
        <sz val="9"/>
        <color rgb="FF666666"/>
        <rFont val="Arial"/>
        <family val="0"/>
        <charset val="1"/>
      </rPr>
      <t xml:space="preserve">App</t>
    </r>
  </si>
  <si>
    <r>
      <rPr>
        <i val="true"/>
        <sz val="9"/>
        <color rgb="FF666666"/>
        <rFont val="Arial"/>
        <family val="0"/>
        <charset val="1"/>
      </rPr>
      <t xml:space="preserve">  3. </t>
    </r>
    <r>
      <rPr>
        <i val="true"/>
        <sz val="9"/>
        <color rgb="FF666666"/>
        <rFont val="Noto Sans CJK SC"/>
        <family val="2"/>
      </rPr>
      <t xml:space="preserve">自動加入結算</t>
    </r>
  </si>
  <si>
    <t xml:space="preserve">⚠ 重要提醒</t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</si>
  <si>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程式產生的「景點完成進度」分頁的「預估」是估算值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</si>
  <si>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旅行前可以在 </t>
    </r>
    <r>
      <rPr>
        <i val="true"/>
        <sz val="9"/>
        <color rgb="FF666666"/>
        <rFont val="Arial"/>
        <family val="0"/>
        <charset val="1"/>
      </rPr>
      <t xml:space="preserve">D </t>
    </r>
    <r>
      <rPr>
        <i val="true"/>
        <sz val="9"/>
        <color rgb="FF666666"/>
        <rFont val="Noto Sans CJK SC"/>
        <family val="2"/>
      </rPr>
      <t xml:space="preserve">欄調整數字符合實際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</si>
  <si>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共付的部分平均分到 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人應分擔（兒子由爸媽承擔）</t>
    </r>
  </si>
  <si>
    <r>
      <rPr>
        <i val="true"/>
        <sz val="9"/>
        <color rgb="FF666666"/>
        <rFont val="Arial"/>
        <family val="0"/>
        <charset val="1"/>
      </rPr>
      <t xml:space="preserve">  - </t>
    </r>
    <r>
      <rPr>
        <i val="true"/>
        <sz val="9"/>
        <color rgb="FF666666"/>
        <rFont val="Noto Sans CJK SC"/>
        <family val="2"/>
      </rPr>
      <t xml:space="preserve">兒童門票記得標記「</t>
    </r>
    <r>
      <rPr>
        <i val="true"/>
        <sz val="9"/>
        <color rgb="FF666666"/>
        <rFont val="Arial"/>
        <family val="0"/>
        <charset val="1"/>
      </rPr>
      <t xml:space="preserve">shared</t>
    </r>
    <r>
      <rPr>
        <i val="true"/>
        <sz val="9"/>
        <color rgb="FF666666"/>
        <rFont val="Noto Sans CJK SC"/>
        <family val="2"/>
      </rPr>
      <t xml:space="preserve">」或「</t>
    </r>
    <r>
      <rPr>
        <i val="true"/>
        <sz val="9"/>
        <color rgb="FF666666"/>
        <rFont val="Arial"/>
        <family val="0"/>
        <charset val="1"/>
      </rPr>
      <t xml:space="preserve">dad</t>
    </r>
    <r>
      <rPr>
        <i val="true"/>
        <sz val="9"/>
        <color rgb="FF666666"/>
        <rFont val="Noto Sans CJK SC"/>
        <family val="2"/>
      </rPr>
      <t xml:space="preserve">」、依實際情況決定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</si>
</sst>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&quot;NT$&quot;#,##0"/>
    <numFmt numFmtId="168" formatCode="&quot;NT$&quot;#,##0;\-;\-"/>
    <numFmt numFmtId="169" formatCode="0;;\-"/>
    <numFmt numFmtId="170" formatCode="&quot;NT$&quot;#,##0;[RED]&quot;-NT$ &quot;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b val="true"/>
      <sz val="12"/>
      <color rgb="FF2D6A4F"/>
      <name val="Arial"/>
      <family val="0"/>
      <charset val="1"/>
    </font>
    <font>
      <b val="true"/>
      <sz val="11"/>
      <name val="Noto Sans CJK SC"/>
      <family val="2"/>
    </font>
    <font>
      <b val="true"/>
      <sz val="12"/>
      <color rgb="FF1F4E78"/>
      <name val="Noto Sans CJK SC"/>
      <family val="2"/>
    </font>
    <font>
      <b val="true"/>
      <sz val="12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Noto Sans CJK SC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2D6A4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0F0F0"/>
      </patternFill>
    </fill>
    <fill>
      <patternFill patternType="solid">
        <fgColor rgb="FFE2EFDA"/>
        <bgColor rgb="FFDAEEF3"/>
      </patternFill>
    </fill>
    <fill>
      <patternFill patternType="solid">
        <fgColor rgb="FFFFE4E1"/>
        <bgColor rgb="FFFCE4D6"/>
      </patternFill>
    </fill>
    <fill>
      <patternFill patternType="solid">
        <fgColor rgb="FFFFC8B8"/>
        <bgColor rgb="FFF8CBAD"/>
      </patternFill>
    </fill>
    <fill>
      <patternFill patternType="solid">
        <fgColor rgb="FFE4DFEC"/>
        <bgColor rgb="FFE0E0D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4E1"/>
      </patternFill>
    </fill>
    <fill>
      <patternFill patternType="solid">
        <fgColor rgb="FFDAEEF3"/>
        <bgColor rgb="FFDDEBF7"/>
      </patternFill>
    </fill>
    <fill>
      <patternFill patternType="solid">
        <fgColor rgb="FFF8CBAD"/>
        <bgColor rgb="FFFFC8B8"/>
      </patternFill>
    </fill>
    <fill>
      <patternFill patternType="solid">
        <fgColor rgb="FFEAD1DC"/>
        <bgColor rgb="FFE4DFEC"/>
      </patternFill>
    </fill>
    <fill>
      <patternFill patternType="solid">
        <fgColor rgb="FFF0F0F0"/>
        <bgColor rgb="FFF2F2F2"/>
      </patternFill>
    </fill>
    <fill>
      <patternFill patternType="solid">
        <fgColor rgb="FFE0E0D8"/>
        <bgColor rgb="FFE4DFEC"/>
      </patternFill>
    </fill>
    <fill>
      <patternFill patternType="solid">
        <fgColor rgb="FFDDEBF7"/>
        <bgColor rgb="FFDA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0F0F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EAD1D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CE4D6"/>
      <rgbColor rgb="FFE0E0D8"/>
      <rgbColor rgb="FFFFC8B8"/>
      <rgbColor rgb="FFE4DFEC"/>
      <rgbColor rgb="FFF8CBAD"/>
      <rgbColor rgb="FF2E75B6"/>
      <rgbColor rgb="FF33CCCC"/>
      <rgbColor rgb="FF99CC00"/>
      <rgbColor rgb="FFFFE4E1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n">
        <v>9</v>
      </c>
    </row>
    <row r="5" customFormat="false" ht="21.75" hidden="false" customHeight="true" outlineLevel="0" collapsed="false">
      <c r="A5" s="3" t="s">
        <v>7</v>
      </c>
      <c r="B5" s="4" t="s">
        <v>8</v>
      </c>
      <c r="C5" s="3" t="s">
        <v>9</v>
      </c>
      <c r="D5" s="4" t="s">
        <v>10</v>
      </c>
      <c r="E5" s="3" t="s">
        <v>11</v>
      </c>
      <c r="F5" s="4" t="s">
        <v>12</v>
      </c>
    </row>
    <row r="6" customFormat="false" ht="21.75" hidden="false" customHeight="true" outlineLevel="0" collapsed="false">
      <c r="A6" s="3" t="s">
        <v>13</v>
      </c>
      <c r="B6" s="4" t="n">
        <v>4</v>
      </c>
      <c r="C6" s="3" t="s">
        <v>14</v>
      </c>
      <c r="D6" s="4" t="n">
        <v>3</v>
      </c>
      <c r="E6" s="3" t="s">
        <v>15</v>
      </c>
      <c r="F6" s="4" t="n">
        <v>1</v>
      </c>
    </row>
    <row r="8" customFormat="false" ht="21.75" hidden="false" customHeight="true" outlineLevel="0" collapsed="false">
      <c r="A8" s="2" t="s">
        <v>16</v>
      </c>
      <c r="B8" s="2"/>
      <c r="C8" s="2"/>
      <c r="D8" s="2"/>
      <c r="E8" s="2"/>
      <c r="F8" s="2"/>
    </row>
    <row r="9" customFormat="false" ht="21.75" hidden="false" customHeight="true" outlineLevel="0" collapsed="false">
      <c r="A9" s="3" t="s">
        <v>17</v>
      </c>
      <c r="B9" s="5" t="n">
        <f aca="false">COUNTA(景點完成進度!C3:C100)</f>
        <v>46</v>
      </c>
      <c r="C9" s="3" t="s">
        <v>18</v>
      </c>
      <c r="D9" s="5" t="n">
        <f aca="false">COUNTIF(景點完成進度!E3:E100,"☑")</f>
        <v>0</v>
      </c>
    </row>
    <row r="10" customFormat="false" ht="21.75" hidden="false" customHeight="true" outlineLevel="0" collapsed="false">
      <c r="A10" s="3" t="s">
        <v>19</v>
      </c>
      <c r="B10" s="6" t="n">
        <f aca="false">IFERROR(D9/B9,0)</f>
        <v>0</v>
      </c>
      <c r="C10" s="3" t="s">
        <v>20</v>
      </c>
      <c r="D10" s="5" t="n">
        <f aca="false">B9-D9</f>
        <v>46</v>
      </c>
    </row>
    <row r="12" customFormat="false" ht="21.75" hidden="false" customHeight="true" outlineLevel="0" collapsed="false">
      <c r="A12" s="2" t="s">
        <v>21</v>
      </c>
      <c r="B12" s="2"/>
      <c r="C12" s="2"/>
      <c r="D12" s="2"/>
      <c r="E12" s="2"/>
      <c r="F12" s="2"/>
    </row>
    <row r="13" customFormat="false" ht="21.75" hidden="false" customHeight="true" outlineLevel="0" collapsed="false">
      <c r="A13" s="3" t="s">
        <v>22</v>
      </c>
      <c r="B13" s="7" t="n">
        <f aca="false">SUMPRODUCT(景點完成進度!D3:D100)</f>
        <v>8278</v>
      </c>
      <c r="C13" s="3" t="s">
        <v>23</v>
      </c>
      <c r="D13" s="7" t="n">
        <f aca="false">SUM(花費明細!H3:H1000)</f>
        <v>1008</v>
      </c>
    </row>
    <row r="14" customFormat="false" ht="21.75" hidden="false" customHeight="true" outlineLevel="0" collapsed="false">
      <c r="A14" s="3" t="s">
        <v>24</v>
      </c>
      <c r="B14" s="7" t="n">
        <f aca="false">B13-D13</f>
        <v>7270</v>
      </c>
      <c r="C14" s="3" t="s">
        <v>25</v>
      </c>
      <c r="D14" s="6" t="n">
        <f aca="false">IFERROR(D13/B13,0)</f>
        <v>0.121768543126359</v>
      </c>
    </row>
    <row r="16" customFormat="false" ht="21.75" hidden="false" customHeight="true" outlineLevel="0" collapsed="false">
      <c r="A16" s="2" t="s">
        <v>26</v>
      </c>
      <c r="B16" s="2"/>
      <c r="C16" s="2"/>
      <c r="D16" s="2"/>
      <c r="E16" s="2"/>
      <c r="F16" s="2"/>
    </row>
    <row r="17" customFormat="false" ht="21.75" hidden="false" customHeight="true" outlineLevel="0" collapsed="false">
      <c r="A17" s="8" t="s">
        <v>27</v>
      </c>
      <c r="B17" s="8" t="s">
        <v>28</v>
      </c>
      <c r="C17" s="8" t="s">
        <v>29</v>
      </c>
      <c r="D17" s="8" t="s">
        <v>30</v>
      </c>
      <c r="E17" s="8" t="s">
        <v>31</v>
      </c>
      <c r="F17" s="8" t="s">
        <v>32</v>
      </c>
    </row>
    <row r="18" customFormat="false" ht="15" hidden="false" customHeight="false" outlineLevel="0" collapsed="false">
      <c r="A18" s="9" t="s">
        <v>33</v>
      </c>
      <c r="B18" s="10" t="n">
        <f aca="false">SUMIFS(花費明細!H3:H1000,花費明細!G3:G1000,"dad")</f>
        <v>1008</v>
      </c>
      <c r="C18" s="11" t="n">
        <f aca="false">COUNTIF(花費明細!G3:G1000,"dad")</f>
        <v>1</v>
      </c>
      <c r="D18" s="10" t="n">
        <f aca="false">IFERROR(B18/C18,0)</f>
        <v>1008</v>
      </c>
      <c r="E18" s="12" t="n">
        <f aca="false">IFERROR(B18/SUM(B18:B21),0)</f>
        <v>1</v>
      </c>
      <c r="F18" s="11"/>
    </row>
    <row r="19" customFormat="false" ht="15" hidden="false" customHeight="false" outlineLevel="0" collapsed="false">
      <c r="A19" s="13" t="s">
        <v>34</v>
      </c>
      <c r="B19" s="10" t="n">
        <f aca="false">SUMIFS(花費明細!H3:H1000,花費明細!G3:G1000,"wife")</f>
        <v>0</v>
      </c>
      <c r="C19" s="11" t="n">
        <f aca="false">COUNTIF(花費明細!G3:G1000,"wife")</f>
        <v>0</v>
      </c>
      <c r="D19" s="10" t="n">
        <f aca="false">IFERROR(B19/C19,0)</f>
        <v>0</v>
      </c>
      <c r="E19" s="12" t="n">
        <f aca="false">IFERROR(B19/SUM(B18:B21),0)</f>
        <v>0</v>
      </c>
      <c r="F19" s="11"/>
    </row>
    <row r="20" customFormat="false" ht="15" hidden="false" customHeight="false" outlineLevel="0" collapsed="false">
      <c r="A20" s="14" t="s">
        <v>35</v>
      </c>
      <c r="B20" s="10" t="n">
        <f aca="false">SUMIFS(花費明細!H3:H1000,花費明細!G3:G1000,"mom")</f>
        <v>0</v>
      </c>
      <c r="C20" s="11" t="n">
        <f aca="false">COUNTIF(花費明細!G3:G1000,"mom")</f>
        <v>0</v>
      </c>
      <c r="D20" s="10" t="n">
        <f aca="false">IFERROR(B20/C20,0)</f>
        <v>0</v>
      </c>
      <c r="E20" s="12" t="n">
        <f aca="false">IFERROR(B20/SUM(B18:B21),0)</f>
        <v>0</v>
      </c>
      <c r="F20" s="11"/>
    </row>
    <row r="21" customFormat="false" ht="15" hidden="false" customHeight="false" outlineLevel="0" collapsed="false">
      <c r="A21" s="15" t="s">
        <v>36</v>
      </c>
      <c r="B21" s="10" t="n">
        <f aca="false">SUMIFS(花費明細!H3:H1000,花費明細!G3:G1000,"shared")</f>
        <v>0</v>
      </c>
      <c r="C21" s="11" t="n">
        <f aca="false">COUNTIF(花費明細!G3:G1000,"shared")</f>
        <v>0</v>
      </c>
      <c r="D21" s="10" t="n">
        <f aca="false">IFERROR(B21/C21,0)</f>
        <v>0</v>
      </c>
      <c r="E21" s="12" t="n">
        <f aca="false">IFERROR(B21/SUM(B18:B21),0)</f>
        <v>0</v>
      </c>
      <c r="F21" s="11"/>
    </row>
    <row r="22" customFormat="false" ht="15" hidden="false" customHeight="false" outlineLevel="0" collapsed="false">
      <c r="A22" s="16" t="s">
        <v>37</v>
      </c>
      <c r="B22" s="17" t="n">
        <f aca="false">SUM(B18:B21)</f>
        <v>1008</v>
      </c>
      <c r="C22" s="18" t="n">
        <f aca="false">SUM(C18:C21)</f>
        <v>1</v>
      </c>
      <c r="D22" s="17" t="n">
        <f aca="false">IFERROR(B22/C22,0)</f>
        <v>1008</v>
      </c>
      <c r="E22" s="19" t="n">
        <f aca="false">SUM(E18:E21)</f>
        <v>1</v>
      </c>
      <c r="F22" s="18"/>
    </row>
    <row r="24" customFormat="false" ht="21.75" hidden="false" customHeight="true" outlineLevel="0" collapsed="false">
      <c r="A24" s="2" t="s">
        <v>38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8" t="s">
        <v>39</v>
      </c>
      <c r="B25" s="8" t="s">
        <v>40</v>
      </c>
      <c r="C25" s="8" t="s">
        <v>29</v>
      </c>
      <c r="D25" s="8" t="s">
        <v>30</v>
      </c>
      <c r="E25" s="8" t="s">
        <v>31</v>
      </c>
      <c r="F25" s="8" t="s">
        <v>32</v>
      </c>
    </row>
    <row r="26" customFormat="false" ht="15" hidden="false" customHeight="false" outlineLevel="0" collapsed="false">
      <c r="A26" s="20" t="s">
        <v>41</v>
      </c>
      <c r="B26" s="10" t="n">
        <f aca="false">SUMIFS(花費明細!H3:H1000,花費明細!F3:F1000,"transport")</f>
        <v>0</v>
      </c>
      <c r="C26" s="11" t="n">
        <f aca="false">COUNTIF(花費明細!F3:F1000,"transport")</f>
        <v>0</v>
      </c>
      <c r="D26" s="10" t="n">
        <f aca="false">IFERROR(B26/C26,0)</f>
        <v>0</v>
      </c>
      <c r="E26" s="12" t="n">
        <f aca="false">IFERROR(B26/SUM(B26:B33),0)</f>
        <v>0</v>
      </c>
      <c r="F26" s="11"/>
    </row>
    <row r="27" customFormat="false" ht="15" hidden="false" customHeight="false" outlineLevel="0" collapsed="false">
      <c r="A27" s="20" t="s">
        <v>42</v>
      </c>
      <c r="B27" s="10" t="n">
        <f aca="false">SUMIFS(花費明細!H3:H1000,花費明細!F3:F1000,"food")</f>
        <v>1008</v>
      </c>
      <c r="C27" s="11" t="n">
        <f aca="false">COUNTIF(花費明細!F3:F1000,"food")</f>
        <v>1</v>
      </c>
      <c r="D27" s="10" t="n">
        <f aca="false">IFERROR(B27/C27,0)</f>
        <v>1008</v>
      </c>
      <c r="E27" s="12" t="n">
        <f aca="false">IFERROR(B27/SUM(B26:B33),0)</f>
        <v>1</v>
      </c>
      <c r="F27" s="11"/>
    </row>
    <row r="28" customFormat="false" ht="15" hidden="false" customHeight="false" outlineLevel="0" collapsed="false">
      <c r="A28" s="20" t="s">
        <v>43</v>
      </c>
      <c r="B28" s="10" t="n">
        <f aca="false">SUMIFS(花費明細!H3:H1000,花費明細!F3:F1000,"ticket")</f>
        <v>0</v>
      </c>
      <c r="C28" s="11" t="n">
        <f aca="false">COUNTIF(花費明細!F3:F1000,"ticket")</f>
        <v>0</v>
      </c>
      <c r="D28" s="10" t="n">
        <f aca="false">IFERROR(B28/C28,0)</f>
        <v>0</v>
      </c>
      <c r="E28" s="12" t="n">
        <f aca="false">IFERROR(B28/SUM(B26:B33),0)</f>
        <v>0</v>
      </c>
      <c r="F28" s="11"/>
    </row>
    <row r="29" customFormat="false" ht="15" hidden="false" customHeight="false" outlineLevel="0" collapsed="false">
      <c r="A29" s="20" t="s">
        <v>44</v>
      </c>
      <c r="B29" s="10" t="n">
        <f aca="false">SUMIFS(花費明細!H3:H1000,花費明細!F3:F1000,"hotel")</f>
        <v>0</v>
      </c>
      <c r="C29" s="11" t="n">
        <f aca="false">COUNTIF(花費明細!F3:F1000,"hotel")</f>
        <v>0</v>
      </c>
      <c r="D29" s="10" t="n">
        <f aca="false">IFERROR(B29/C29,0)</f>
        <v>0</v>
      </c>
      <c r="E29" s="12" t="n">
        <f aca="false">IFERROR(B29/SUM(B26:B33),0)</f>
        <v>0</v>
      </c>
      <c r="F29" s="11"/>
    </row>
    <row r="30" customFormat="false" ht="15" hidden="false" customHeight="false" outlineLevel="0" collapsed="false">
      <c r="A30" s="20" t="s">
        <v>45</v>
      </c>
      <c r="B30" s="10" t="n">
        <f aca="false">SUMIFS(花費明細!H3:H1000,花費明細!F3:F1000,"shopping")</f>
        <v>0</v>
      </c>
      <c r="C30" s="11" t="n">
        <f aca="false">COUNTIF(花費明細!F3:F1000,"shopping")</f>
        <v>0</v>
      </c>
      <c r="D30" s="10" t="n">
        <f aca="false">IFERROR(B30/C30,0)</f>
        <v>0</v>
      </c>
      <c r="E30" s="12" t="n">
        <f aca="false">IFERROR(B30/SUM(B26:B33),0)</f>
        <v>0</v>
      </c>
      <c r="F30" s="11"/>
    </row>
    <row r="31" customFormat="false" ht="15" hidden="false" customHeight="false" outlineLevel="0" collapsed="false">
      <c r="A31" s="20" t="s">
        <v>46</v>
      </c>
      <c r="B31" s="10" t="n">
        <f aca="false">SUMIFS(花費明細!H3:H1000,花費明細!F3:F1000,"cosmetics")</f>
        <v>0</v>
      </c>
      <c r="C31" s="11" t="n">
        <f aca="false">COUNTIF(花費明細!F3:F1000,"cosmetics")</f>
        <v>0</v>
      </c>
      <c r="D31" s="10" t="n">
        <f aca="false">IFERROR(B31/C31,0)</f>
        <v>0</v>
      </c>
      <c r="E31" s="12" t="n">
        <f aca="false">IFERROR(B31/SUM(B26:B33),0)</f>
        <v>0</v>
      </c>
      <c r="F31" s="11"/>
    </row>
    <row r="32" customFormat="false" ht="15" hidden="false" customHeight="false" outlineLevel="0" collapsed="false">
      <c r="A32" s="20" t="s">
        <v>47</v>
      </c>
      <c r="B32" s="10" t="n">
        <f aca="false">SUMIFS(花費明細!H3:H1000,花費明細!F3:F1000,"souvenir")</f>
        <v>0</v>
      </c>
      <c r="C32" s="11" t="n">
        <f aca="false">COUNTIF(花費明細!F3:F1000,"souvenir")</f>
        <v>0</v>
      </c>
      <c r="D32" s="10" t="n">
        <f aca="false">IFERROR(B32/C32,0)</f>
        <v>0</v>
      </c>
      <c r="E32" s="12" t="n">
        <f aca="false">IFERROR(B32/SUM(B26:B33),0)</f>
        <v>0</v>
      </c>
      <c r="F32" s="11"/>
    </row>
    <row r="33" customFormat="false" ht="15" hidden="false" customHeight="false" outlineLevel="0" collapsed="false">
      <c r="A33" s="20" t="s">
        <v>48</v>
      </c>
      <c r="B33" s="10" t="n">
        <f aca="false">SUMIFS(花費明細!H3:H1000,花費明細!F3:F1000,"other")</f>
        <v>0</v>
      </c>
      <c r="C33" s="11" t="n">
        <f aca="false">COUNTIF(花費明細!F3:F1000,"other")</f>
        <v>0</v>
      </c>
      <c r="D33" s="10" t="n">
        <f aca="false">IFERROR(B33/C33,0)</f>
        <v>0</v>
      </c>
      <c r="E33" s="12" t="n">
        <f aca="false">IFERROR(B33/SUM(B26:B33),0)</f>
        <v>0</v>
      </c>
      <c r="F33" s="11"/>
    </row>
  </sheetData>
  <mergeCells count="6">
    <mergeCell ref="A1:F1"/>
    <mergeCell ref="A3:F3"/>
    <mergeCell ref="A8:F8"/>
    <mergeCell ref="A12:F12"/>
    <mergeCell ref="A16:F16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8" t="s">
        <v>50</v>
      </c>
      <c r="B2" s="8" t="s">
        <v>51</v>
      </c>
      <c r="C2" s="8" t="s">
        <v>32</v>
      </c>
      <c r="D2" s="8" t="s">
        <v>52</v>
      </c>
      <c r="E2" s="8" t="s">
        <v>53</v>
      </c>
      <c r="F2" s="8" t="s">
        <v>39</v>
      </c>
      <c r="G2" s="8" t="s">
        <v>27</v>
      </c>
      <c r="H2" s="8" t="s">
        <v>54</v>
      </c>
      <c r="I2" s="21" t="s">
        <v>55</v>
      </c>
      <c r="J2" s="21" t="s">
        <v>56</v>
      </c>
      <c r="K2" s="8" t="s">
        <v>57</v>
      </c>
      <c r="M2" s="22" t="s">
        <v>58</v>
      </c>
    </row>
    <row r="3" customFormat="false" ht="15" hidden="false" customHeight="false" outlineLevel="0" collapsed="false">
      <c r="A3" s="23" t="s">
        <v>3</v>
      </c>
      <c r="B3" s="24" t="s">
        <v>59</v>
      </c>
      <c r="C3" s="24" t="s">
        <v>60</v>
      </c>
      <c r="D3" s="23" t="s">
        <v>61</v>
      </c>
      <c r="E3" s="23" t="n">
        <v>4800</v>
      </c>
      <c r="F3" s="23" t="s">
        <v>62</v>
      </c>
      <c r="G3" s="23" t="s">
        <v>63</v>
      </c>
      <c r="H3" s="7" t="n">
        <f aca="false">IF(D3="JPY",E3*$I$3,IF(D3="USD",E3*$J$3,E3))</f>
        <v>1008</v>
      </c>
      <c r="I3" s="9" t="n">
        <v>0.21</v>
      </c>
      <c r="J3" s="9" t="n">
        <v>32</v>
      </c>
      <c r="K3" s="25" t="s">
        <v>64</v>
      </c>
      <c r="M3" s="26" t="s">
        <v>65</v>
      </c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7" t="n">
        <f aca="false">IFERROR(IF(D4="JPY",E4*$I$3,IF(D4="USD",E4*$J$3,E4)),"")</f>
        <v>0</v>
      </c>
      <c r="M4" s="28" t="s">
        <v>66</v>
      </c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  <c r="G5" s="27"/>
      <c r="H5" s="7" t="n">
        <f aca="false">IFERROR(IF(D5="JPY",E5*$I$3,IF(D5="USD",E5*$J$3,E5)),"")</f>
        <v>0</v>
      </c>
      <c r="M5" s="28" t="s">
        <v>67</v>
      </c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7" t="n">
        <f aca="false">IFERROR(IF(D6="JPY",E6*$I$3,IF(D6="USD",E6*$J$3,E6)),"")</f>
        <v>0</v>
      </c>
      <c r="M6" s="28" t="s">
        <v>68</v>
      </c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7" t="n">
        <f aca="false">IFERROR(IF(D7="JPY",E7*$I$3,IF(D7="USD",E7*$J$3,E7)),"")</f>
        <v>0</v>
      </c>
      <c r="M7" s="26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7" t="n">
        <f aca="false">IFERROR(IF(D8="JPY",E8*$I$3,IF(D8="USD",E8*$J$3,E8)),"")</f>
        <v>0</v>
      </c>
      <c r="M8" s="26" t="s">
        <v>69</v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7" t="n">
        <f aca="false">IFERROR(IF(D9="JPY",E9*$I$3,IF(D9="USD",E9*$J$3,E9)),"")</f>
        <v>0</v>
      </c>
      <c r="M9" s="28" t="s">
        <v>70</v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7" t="n">
        <f aca="false">IFERROR(IF(D10="JPY",E10*$I$3,IF(D10="USD",E10*$J$3,E10)),"")</f>
        <v>0</v>
      </c>
      <c r="M10" s="28" t="s">
        <v>71</v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7" t="n">
        <f aca="false">IFERROR(IF(D11="JPY",E11*$I$3,IF(D11="USD",E11*$J$3,E11)),"")</f>
        <v>0</v>
      </c>
      <c r="M11" s="28" t="s">
        <v>72</v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7" t="n">
        <f aca="false">IFERROR(IF(D12="JPY",E12*$I$3,IF(D12="USD",E12*$J$3,E12)),"")</f>
        <v>0</v>
      </c>
      <c r="M12" s="28" t="s">
        <v>73</v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7" t="n">
        <f aca="false">IFERROR(IF(D13="JPY",E13*$I$3,IF(D13="USD",E13*$J$3,E13)),"")</f>
        <v>0</v>
      </c>
      <c r="M13" s="28" t="s">
        <v>74</v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7" t="n">
        <f aca="false">IFERROR(IF(D14="JPY",E14*$I$3,IF(D14="USD",E14*$J$3,E14)),"")</f>
        <v>0</v>
      </c>
      <c r="M14" s="28" t="s">
        <v>75</v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7" t="n">
        <f aca="false">IFERROR(IF(D15="JPY",E15*$I$3,IF(D15="USD",E15*$J$3,E15)),"")</f>
        <v>0</v>
      </c>
      <c r="M15" s="28" t="s">
        <v>76</v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7" t="n">
        <f aca="false">IFERROR(IF(D16="JPY",E16*$I$3,IF(D16="USD",E16*$J$3,E16)),"")</f>
        <v>0</v>
      </c>
      <c r="M16" s="28" t="s">
        <v>77</v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7" t="n">
        <f aca="false">IFERROR(IF(D17="JPY",E17*$I$3,IF(D17="USD",E17*$J$3,E17)),"")</f>
        <v>0</v>
      </c>
      <c r="M17" s="26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7" t="n">
        <f aca="false">IFERROR(IF(D18="JPY",E18*$I$3,IF(D18="USD",E18*$J$3,E18)),"")</f>
        <v>0</v>
      </c>
      <c r="M18" s="26" t="s">
        <v>78</v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7" t="n">
        <f aca="false">IFERROR(IF(D19="JPY",E19*$I$3,IF(D19="USD",E19*$J$3,E19)),"")</f>
        <v>0</v>
      </c>
      <c r="M19" s="28" t="s">
        <v>79</v>
      </c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7" t="n">
        <f aca="false">IFERROR(IF(D20="JPY",E20*$I$3,IF(D20="USD",E20*$J$3,E20)),"")</f>
        <v>0</v>
      </c>
      <c r="M20" s="28" t="s">
        <v>80</v>
      </c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7" t="n">
        <f aca="false">IFERROR(IF(D21="JPY",E21*$I$3,IF(D21="USD",E21*$J$3,E21)),"")</f>
        <v>0</v>
      </c>
      <c r="M21" s="28" t="s">
        <v>81</v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7" t="n">
        <f aca="false">IFERROR(IF(D22="JPY",E22*$I$3,IF(D22="USD",E22*$J$3,E22)),"")</f>
        <v>0</v>
      </c>
      <c r="M22" s="28" t="s">
        <v>82</v>
      </c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7" t="n">
        <f aca="false">IFERROR(IF(D23="JPY",E23*$I$3,IF(D23="USD",E23*$J$3,E23)),"")</f>
        <v>0</v>
      </c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7" t="n">
        <f aca="false">IFERROR(IF(D24="JPY",E24*$I$3,IF(D24="USD",E24*$J$3,E24)),"")</f>
        <v>0</v>
      </c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7" t="n">
        <f aca="false">IFERROR(IF(D25="JPY",E25*$I$3,IF(D25="USD",E25*$J$3,E25)),"")</f>
        <v>0</v>
      </c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7" t="n">
        <f aca="false">IFERROR(IF(D26="JPY",E26*$I$3,IF(D26="USD",E26*$J$3,E26)),"")</f>
        <v>0</v>
      </c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7" t="n">
        <f aca="false">IFERROR(IF(D27="JPY",E27*$I$3,IF(D27="USD",E27*$J$3,E27)),"")</f>
        <v>0</v>
      </c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7" t="n">
        <f aca="false">IFERROR(IF(D28="JPY",E28*$I$3,IF(D28="USD",E28*$J$3,E28)),"")</f>
        <v>0</v>
      </c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7" t="n">
        <f aca="false">IFERROR(IF(D29="JPY",E29*$I$3,IF(D29="USD",E29*$J$3,E29)),"")</f>
        <v>0</v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7" t="n">
        <f aca="false">IFERROR(IF(D30="JPY",E30*$I$3,IF(D30="USD",E30*$J$3,E30)),"")</f>
        <v>0</v>
      </c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7" t="n">
        <f aca="false">IFERROR(IF(D31="JPY",E31*$I$3,IF(D31="USD",E31*$J$3,E31)),"")</f>
        <v>0</v>
      </c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7" t="n">
        <f aca="false">IFERROR(IF(D32="JPY",E32*$I$3,IF(D32="USD",E32*$J$3,E32)),"")</f>
        <v>0</v>
      </c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7" t="n">
        <f aca="false">IFERROR(IF(D33="JPY",E33*$I$3,IF(D33="USD",E33*$J$3,E33)),"")</f>
        <v>0</v>
      </c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7" t="n">
        <f aca="false">IFERROR(IF(D34="JPY",E34*$I$3,IF(D34="USD",E34*$J$3,E34)),"")</f>
        <v>0</v>
      </c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7" t="n">
        <f aca="false">IFERROR(IF(D35="JPY",E35*$I$3,IF(D35="USD",E35*$J$3,E35)),"")</f>
        <v>0</v>
      </c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7" t="n">
        <f aca="false">IFERROR(IF(D36="JPY",E36*$I$3,IF(D36="USD",E36*$J$3,E36)),"")</f>
        <v>0</v>
      </c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7" t="n">
        <f aca="false">IFERROR(IF(D37="JPY",E37*$I$3,IF(D37="USD",E37*$J$3,E37)),"")</f>
        <v>0</v>
      </c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7" t="n">
        <f aca="false">IFERROR(IF(D38="JPY",E38*$I$3,IF(D38="USD",E38*$J$3,E38)),"")</f>
        <v>0</v>
      </c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7" t="n">
        <f aca="false">IFERROR(IF(D39="JPY",E39*$I$3,IF(D39="USD",E39*$J$3,E39)),"")</f>
        <v>0</v>
      </c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7" t="n">
        <f aca="false">IFERROR(IF(D40="JPY",E40*$I$3,IF(D40="USD",E40*$J$3,E40)),"")</f>
        <v>0</v>
      </c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7" t="n">
        <f aca="false">IFERROR(IF(D41="JPY",E41*$I$3,IF(D41="USD",E41*$J$3,E41)),"")</f>
        <v>0</v>
      </c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7" t="n">
        <f aca="false">IFERROR(IF(D42="JPY",E42*$I$3,IF(D42="USD",E42*$J$3,E42)),"")</f>
        <v>0</v>
      </c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7" t="n">
        <f aca="false">IFERROR(IF(D43="JPY",E43*$I$3,IF(D43="USD",E43*$J$3,E43)),"")</f>
        <v>0</v>
      </c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7" t="n">
        <f aca="false">IFERROR(IF(D44="JPY",E44*$I$3,IF(D44="USD",E44*$J$3,E44)),"")</f>
        <v>0</v>
      </c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7" t="n">
        <f aca="false">IFERROR(IF(D45="JPY",E45*$I$3,IF(D45="USD",E45*$J$3,E45)),"")</f>
        <v>0</v>
      </c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7" t="n">
        <f aca="false">IFERROR(IF(D46="JPY",E46*$I$3,IF(D46="USD",E46*$J$3,E46)),"")</f>
        <v>0</v>
      </c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7" t="n">
        <f aca="false">IFERROR(IF(D47="JPY",E47*$I$3,IF(D47="USD",E47*$J$3,E47)),"")</f>
        <v>0</v>
      </c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7" t="n">
        <f aca="false">IFERROR(IF(D48="JPY",E48*$I$3,IF(D48="USD",E48*$J$3,E48)),"")</f>
        <v>0</v>
      </c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7" t="n">
        <f aca="false">IFERROR(IF(D49="JPY",E49*$I$3,IF(D49="USD",E49*$J$3,E49)),"")</f>
        <v>0</v>
      </c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7" t="n">
        <f aca="false">IFERROR(IF(D50="JPY",E50*$I$3,IF(D50="USD",E50*$J$3,E50)),"")</f>
        <v>0</v>
      </c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7" t="n">
        <f aca="false">IFERROR(IF(D51="JPY",E51*$I$3,IF(D51="USD",E51*$J$3,E51)),"")</f>
        <v>0</v>
      </c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7" t="n">
        <f aca="false">IFERROR(IF(D52="JPY",E52*$I$3,IF(D52="USD",E52*$J$3,E52)),"")</f>
        <v>0</v>
      </c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7" t="n">
        <f aca="false">IFERROR(IF(D53="JPY",E53*$I$3,IF(D53="USD",E53*$J$3,E53)),"")</f>
        <v>0</v>
      </c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7" t="n">
        <f aca="false">IFERROR(IF(D54="JPY",E54*$I$3,IF(D54="USD",E54*$J$3,E54)),"")</f>
        <v>0</v>
      </c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7" t="n">
        <f aca="false">IFERROR(IF(D55="JPY",E55*$I$3,IF(D55="USD",E55*$J$3,E55)),"")</f>
        <v>0</v>
      </c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7" t="n">
        <f aca="false">IFERROR(IF(D56="JPY",E56*$I$3,IF(D56="USD",E56*$J$3,E56)),"")</f>
        <v>0</v>
      </c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7" t="n">
        <f aca="false">IFERROR(IF(D57="JPY",E57*$I$3,IF(D57="USD",E57*$J$3,E57)),"")</f>
        <v>0</v>
      </c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7" t="n">
        <f aca="false">IFERROR(IF(D58="JPY",E58*$I$3,IF(D58="USD",E58*$J$3,E58)),"")</f>
        <v>0</v>
      </c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7" t="n">
        <f aca="false">IFERROR(IF(D59="JPY",E59*$I$3,IF(D59="USD",E59*$J$3,E59)),"")</f>
        <v>0</v>
      </c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7" t="n">
        <f aca="false">IFERROR(IF(D60="JPY",E60*$I$3,IF(D60="USD",E60*$J$3,E60)),"")</f>
        <v>0</v>
      </c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7" t="n">
        <f aca="false">IFERROR(IF(D61="JPY",E61*$I$3,IF(D61="USD",E61*$J$3,E61)),"")</f>
        <v>0</v>
      </c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7" t="n">
        <f aca="false">IFERROR(IF(D62="JPY",E62*$I$3,IF(D62="USD",E62*$J$3,E62)),"")</f>
        <v>0</v>
      </c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7" t="n">
        <f aca="false">IFERROR(IF(D63="JPY",E63*$I$3,IF(D63="USD",E63*$J$3,E63)),"")</f>
        <v>0</v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7" t="n">
        <f aca="false">IFERROR(IF(D64="JPY",E64*$I$3,IF(D64="USD",E64*$J$3,E64)),"")</f>
        <v>0</v>
      </c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7" t="n">
        <f aca="false">IFERROR(IF(D65="JPY",E65*$I$3,IF(D65="USD",E65*$J$3,E65)),"")</f>
        <v>0</v>
      </c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7" t="n">
        <f aca="false">IFERROR(IF(D66="JPY",E66*$I$3,IF(D66="USD",E66*$J$3,E66)),"")</f>
        <v>0</v>
      </c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7" t="n">
        <f aca="false">IFERROR(IF(D67="JPY",E67*$I$3,IF(D67="USD",E67*$J$3,E67)),"")</f>
        <v>0</v>
      </c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7" t="n">
        <f aca="false">IFERROR(IF(D68="JPY",E68*$I$3,IF(D68="USD",E68*$J$3,E68)),"")</f>
        <v>0</v>
      </c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7" t="n">
        <f aca="false">IFERROR(IF(D69="JPY",E69*$I$3,IF(D69="USD",E69*$J$3,E69)),"")</f>
        <v>0</v>
      </c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7" t="n">
        <f aca="false">IFERROR(IF(D70="JPY",E70*$I$3,IF(D70="USD",E70*$J$3,E70)),"")</f>
        <v>0</v>
      </c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7" t="n">
        <f aca="false">IFERROR(IF(D71="JPY",E71*$I$3,IF(D71="USD",E71*$J$3,E71)),"")</f>
        <v>0</v>
      </c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7" t="n">
        <f aca="false">IFERROR(IF(D72="JPY",E72*$I$3,IF(D72="USD",E72*$J$3,E72)),"")</f>
        <v>0</v>
      </c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7" t="n">
        <f aca="false">IFERROR(IF(D73="JPY",E73*$I$3,IF(D73="USD",E73*$J$3,E73)),"")</f>
        <v>0</v>
      </c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7" t="n">
        <f aca="false">IFERROR(IF(D74="JPY",E74*$I$3,IF(D74="USD",E74*$J$3,E74)),"")</f>
        <v>0</v>
      </c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7" t="n">
        <f aca="false">IFERROR(IF(D75="JPY",E75*$I$3,IF(D75="USD",E75*$J$3,E75)),"")</f>
        <v>0</v>
      </c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7" t="n">
        <f aca="false">IFERROR(IF(D76="JPY",E76*$I$3,IF(D76="USD",E76*$J$3,E76)),"")</f>
        <v>0</v>
      </c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7" t="n">
        <f aca="false">IFERROR(IF(D77="JPY",E77*$I$3,IF(D77="USD",E77*$J$3,E77)),"")</f>
        <v>0</v>
      </c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7" t="n">
        <f aca="false">IFERROR(IF(D78="JPY",E78*$I$3,IF(D78="USD",E78*$J$3,E78)),"")</f>
        <v>0</v>
      </c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7" t="n">
        <f aca="false">IFERROR(IF(D79="JPY",E79*$I$3,IF(D79="USD",E79*$J$3,E79)),"")</f>
        <v>0</v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7" t="n">
        <f aca="false">IFERROR(IF(D80="JPY",E80*$I$3,IF(D80="USD",E80*$J$3,E80)),"")</f>
        <v>0</v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7" t="n">
        <f aca="false">IFERROR(IF(D81="JPY",E81*$I$3,IF(D81="USD",E81*$J$3,E81)),"")</f>
        <v>0</v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7" t="n">
        <f aca="false">IFERROR(IF(D82="JPY",E82*$I$3,IF(D82="USD",E82*$J$3,E82)),"")</f>
        <v>0</v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7" t="n">
        <f aca="false">IFERROR(IF(D83="JPY",E83*$I$3,IF(D83="USD",E83*$J$3,E83)),"")</f>
        <v>0</v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7" t="n">
        <f aca="false">IFERROR(IF(D84="JPY",E84*$I$3,IF(D84="USD",E84*$J$3,E84)),"")</f>
        <v>0</v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7" t="n">
        <f aca="false">IFERROR(IF(D85="JPY",E85*$I$3,IF(D85="USD",E85*$J$3,E85)),"")</f>
        <v>0</v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7" t="n">
        <f aca="false">IFERROR(IF(D86="JPY",E86*$I$3,IF(D86="USD",E86*$J$3,E86)),"")</f>
        <v>0</v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7" t="n">
        <f aca="false">IFERROR(IF(D87="JPY",E87*$I$3,IF(D87="USD",E87*$J$3,E87)),"")</f>
        <v>0</v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7" t="n">
        <f aca="false">IFERROR(IF(D88="JPY",E88*$I$3,IF(D88="USD",E88*$J$3,E88)),"")</f>
        <v>0</v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7" t="n">
        <f aca="false">IFERROR(IF(D89="JPY",E89*$I$3,IF(D89="USD",E89*$J$3,E89)),"")</f>
        <v>0</v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7" t="n">
        <f aca="false">IFERROR(IF(D90="JPY",E90*$I$3,IF(D90="USD",E90*$J$3,E90)),"")</f>
        <v>0</v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7" t="n">
        <f aca="false">IFERROR(IF(D91="JPY",E91*$I$3,IF(D91="USD",E91*$J$3,E91)),"")</f>
        <v>0</v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7" t="n">
        <f aca="false">IFERROR(IF(D92="JPY",E92*$I$3,IF(D92="USD",E92*$J$3,E92)),"")</f>
        <v>0</v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7" t="n">
        <f aca="false">IFERROR(IF(D93="JPY",E93*$I$3,IF(D93="USD",E93*$J$3,E93)),"")</f>
        <v>0</v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7" t="n">
        <f aca="false">IFERROR(IF(D94="JPY",E94*$I$3,IF(D94="USD",E94*$J$3,E94)),"")</f>
        <v>0</v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7" t="n">
        <f aca="false">IFERROR(IF(D95="JPY",E95*$I$3,IF(D95="USD",E95*$J$3,E95)),"")</f>
        <v>0</v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7" t="n">
        <f aca="false">IFERROR(IF(D96="JPY",E96*$I$3,IF(D96="USD",E96*$J$3,E96)),"")</f>
        <v>0</v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7" t="n">
        <f aca="false">IFERROR(IF(D97="JPY",E97*$I$3,IF(D97="USD",E97*$J$3,E97)),"")</f>
        <v>0</v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7" t="n">
        <f aca="false">IFERROR(IF(D98="JPY",E98*$I$3,IF(D98="USD",E98*$J$3,E98)),"")</f>
        <v>0</v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7" t="n">
        <f aca="false">IFERROR(IF(D99="JPY",E99*$I$3,IF(D99="USD",E99*$J$3,E99)),"")</f>
        <v>0</v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7" t="n">
        <f aca="false">IFERROR(IF(D100="JPY",E100*$I$3,IF(D100="USD",E100*$J$3,E100)),"")</f>
        <v>0</v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7" t="n">
        <f aca="false">IFERROR(IF(D101="JPY",E101*$I$3,IF(D101="USD",E101*$J$3,E101)),"")</f>
        <v>0</v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7" t="n">
        <f aca="false">IFERROR(IF(D102="JPY",E102*$I$3,IF(D102="USD",E102*$J$3,E102)),"")</f>
        <v>0</v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7" t="n">
        <f aca="false">IFERROR(IF(D103="JPY",E103*$I$3,IF(D103="USD",E103*$J$3,E103)),"")</f>
        <v>0</v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7" t="n">
        <f aca="false">IFERROR(IF(D104="JPY",E104*$I$3,IF(D104="USD",E104*$J$3,E104)),"")</f>
        <v>0</v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7" t="n">
        <f aca="false">IFERROR(IF(D105="JPY",E105*$I$3,IF(D105="USD",E105*$J$3,E105)),"")</f>
        <v>0</v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7" t="n">
        <f aca="false">IFERROR(IF(D106="JPY",E106*$I$3,IF(D106="USD",E106*$J$3,E106)),"")</f>
        <v>0</v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7" t="n">
        <f aca="false">IFERROR(IF(D107="JPY",E107*$I$3,IF(D107="USD",E107*$J$3,E107)),"")</f>
        <v>0</v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7" t="n">
        <f aca="false">IFERROR(IF(D108="JPY",E108*$I$3,IF(D108="USD",E108*$J$3,E108)),"")</f>
        <v>0</v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7" t="n">
        <f aca="false">IFERROR(IF(D109="JPY",E109*$I$3,IF(D109="USD",E109*$J$3,E109)),"")</f>
        <v>0</v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7" t="n">
        <f aca="false">IFERROR(IF(D110="JPY",E110*$I$3,IF(D110="USD",E110*$J$3,E110)),"")</f>
        <v>0</v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7" t="n">
        <f aca="false">IFERROR(IF(D111="JPY",E111*$I$3,IF(D111="USD",E111*$J$3,E111)),"")</f>
        <v>0</v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7" t="n">
        <f aca="false">IFERROR(IF(D112="JPY",E112*$I$3,IF(D112="USD",E112*$J$3,E112)),"")</f>
        <v>0</v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7" t="n">
        <f aca="false">IFERROR(IF(D113="JPY",E113*$I$3,IF(D113="USD",E113*$J$3,E113)),"")</f>
        <v>0</v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7" t="n">
        <f aca="false">IFERROR(IF(D114="JPY",E114*$I$3,IF(D114="USD",E114*$J$3,E114)),"")</f>
        <v>0</v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7" t="n">
        <f aca="false">IFERROR(IF(D115="JPY",E115*$I$3,IF(D115="USD",E115*$J$3,E115)),"")</f>
        <v>0</v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7" t="n">
        <f aca="false">IFERROR(IF(D116="JPY",E116*$I$3,IF(D116="USD",E116*$J$3,E116)),"")</f>
        <v>0</v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7" t="n">
        <f aca="false">IFERROR(IF(D117="JPY",E117*$I$3,IF(D117="USD",E117*$J$3,E117)),"")</f>
        <v>0</v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7" t="n">
        <f aca="false">IFERROR(IF(D118="JPY",E118*$I$3,IF(D118="USD",E118*$J$3,E118)),"")</f>
        <v>0</v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7" t="n">
        <f aca="false">IFERROR(IF(D119="JPY",E119*$I$3,IF(D119="USD",E119*$J$3,E119)),"")</f>
        <v>0</v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7" t="n">
        <f aca="false">IFERROR(IF(D120="JPY",E120*$I$3,IF(D120="USD",E120*$J$3,E120)),"")</f>
        <v>0</v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7" t="n">
        <f aca="false">IFERROR(IF(D121="JPY",E121*$I$3,IF(D121="USD",E121*$J$3,E121)),"")</f>
        <v>0</v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7" t="n">
        <f aca="false">IFERROR(IF(D122="JPY",E122*$I$3,IF(D122="USD",E122*$J$3,E122)),"")</f>
        <v>0</v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7" t="n">
        <f aca="false">IFERROR(IF(D123="JPY",E123*$I$3,IF(D123="USD",E123*$J$3,E123)),"")</f>
        <v>0</v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7" t="n">
        <f aca="false">IFERROR(IF(D124="JPY",E124*$I$3,IF(D124="USD",E124*$J$3,E124)),"")</f>
        <v>0</v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7" t="n">
        <f aca="false">IFERROR(IF(D125="JPY",E125*$I$3,IF(D125="USD",E125*$J$3,E125)),"")</f>
        <v>0</v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7" t="n">
        <f aca="false">IFERROR(IF(D126="JPY",E126*$I$3,IF(D126="USD",E126*$J$3,E126)),"")</f>
        <v>0</v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7" t="n">
        <f aca="false">IFERROR(IF(D127="JPY",E127*$I$3,IF(D127="USD",E127*$J$3,E127)),"")</f>
        <v>0</v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7" t="n">
        <f aca="false">IFERROR(IF(D128="JPY",E128*$I$3,IF(D128="USD",E128*$J$3,E128)),"")</f>
        <v>0</v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7" t="n">
        <f aca="false">IFERROR(IF(D129="JPY",E129*$I$3,IF(D129="USD",E129*$J$3,E129)),"")</f>
        <v>0</v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7" t="n">
        <f aca="false">IFERROR(IF(D130="JPY",E130*$I$3,IF(D130="USD",E130*$J$3,E130)),"")</f>
        <v>0</v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7" t="n">
        <f aca="false">IFERROR(IF(D131="JPY",E131*$I$3,IF(D131="USD",E131*$J$3,E131)),"")</f>
        <v>0</v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7" t="n">
        <f aca="false">IFERROR(IF(D132="JPY",E132*$I$3,IF(D132="USD",E132*$J$3,E132)),"")</f>
        <v>0</v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7" t="n">
        <f aca="false">IFERROR(IF(D133="JPY",E133*$I$3,IF(D133="USD",E133*$J$3,E133)),"")</f>
        <v>0</v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7" t="n">
        <f aca="false">IFERROR(IF(D134="JPY",E134*$I$3,IF(D134="USD",E134*$J$3,E134)),"")</f>
        <v>0</v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7" t="n">
        <f aca="false">IFERROR(IF(D135="JPY",E135*$I$3,IF(D135="USD",E135*$J$3,E135)),"")</f>
        <v>0</v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7" t="n">
        <f aca="false">IFERROR(IF(D136="JPY",E136*$I$3,IF(D136="USD",E136*$J$3,E136)),"")</f>
        <v>0</v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7" t="n">
        <f aca="false">IFERROR(IF(D137="JPY",E137*$I$3,IF(D137="USD",E137*$J$3,E137)),"")</f>
        <v>0</v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7" t="n">
        <f aca="false">IFERROR(IF(D138="JPY",E138*$I$3,IF(D138="USD",E138*$J$3,E138)),"")</f>
        <v>0</v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7" t="n">
        <f aca="false">IFERROR(IF(D139="JPY",E139*$I$3,IF(D139="USD",E139*$J$3,E139)),"")</f>
        <v>0</v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7" t="n">
        <f aca="false">IFERROR(IF(D140="JPY",E140*$I$3,IF(D140="USD",E140*$J$3,E140)),"")</f>
        <v>0</v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7" t="n">
        <f aca="false">IFERROR(IF(D141="JPY",E141*$I$3,IF(D141="USD",E141*$J$3,E141)),"")</f>
        <v>0</v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7" t="n">
        <f aca="false">IFERROR(IF(D142="JPY",E142*$I$3,IF(D142="USD",E142*$J$3,E142)),"")</f>
        <v>0</v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7" t="n">
        <f aca="false">IFERROR(IF(D143="JPY",E143*$I$3,IF(D143="USD",E143*$J$3,E143)),"")</f>
        <v>0</v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7" t="n">
        <f aca="false">IFERROR(IF(D144="JPY",E144*$I$3,IF(D144="USD",E144*$J$3,E144)),"")</f>
        <v>0</v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7" t="n">
        <f aca="false">IFERROR(IF(D145="JPY",E145*$I$3,IF(D145="USD",E145*$J$3,E145)),"")</f>
        <v>0</v>
      </c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7" t="n">
        <f aca="false">IFERROR(IF(D146="JPY",E146*$I$3,IF(D146="USD",E146*$J$3,E146)),"")</f>
        <v>0</v>
      </c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7" t="n">
        <f aca="false">IFERROR(IF(D147="JPY",E147*$I$3,IF(D147="USD",E147*$J$3,E147)),"")</f>
        <v>0</v>
      </c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7" t="n">
        <f aca="false">IFERROR(IF(D148="JPY",E148*$I$3,IF(D148="USD",E148*$J$3,E148)),"")</f>
        <v>0</v>
      </c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7" t="n">
        <f aca="false">IFERROR(IF(D149="JPY",E149*$I$3,IF(D149="USD",E149*$J$3,E149)),"")</f>
        <v>0</v>
      </c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7" t="n">
        <f aca="false">IFERROR(IF(D150="JPY",E150*$I$3,IF(D150="USD",E150*$J$3,E150)),"")</f>
        <v>0</v>
      </c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7" t="n">
        <f aca="false">IFERROR(IF(D151="JPY",E151*$I$3,IF(D151="USD",E151*$J$3,E151)),"")</f>
        <v>0</v>
      </c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7" t="n">
        <f aca="false">IFERROR(IF(D152="JPY",E152*$I$3,IF(D152="USD",E152*$J$3,E152)),"")</f>
        <v>0</v>
      </c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7" t="n">
        <f aca="false">IFERROR(IF(D153="JPY",E153*$I$3,IF(D153="USD",E153*$J$3,E153)),"")</f>
        <v>0</v>
      </c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7" t="n">
        <f aca="false">IFERROR(IF(D154="JPY",E154*$I$3,IF(D154="USD",E154*$J$3,E154)),"")</f>
        <v>0</v>
      </c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7" t="n">
        <f aca="false">IFERROR(IF(D155="JPY",E155*$I$3,IF(D155="USD",E155*$J$3,E155)),"")</f>
        <v>0</v>
      </c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7" t="n">
        <f aca="false">IFERROR(IF(D156="JPY",E156*$I$3,IF(D156="USD",E156*$J$3,E156)),"")</f>
        <v>0</v>
      </c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7" t="n">
        <f aca="false">IFERROR(IF(D157="JPY",E157*$I$3,IF(D157="USD",E157*$J$3,E157)),"")</f>
        <v>0</v>
      </c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7" t="n">
        <f aca="false">IFERROR(IF(D158="JPY",E158*$I$3,IF(D158="USD",E158*$J$3,E158)),"")</f>
        <v>0</v>
      </c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7" t="n">
        <f aca="false">IFERROR(IF(D159="JPY",E159*$I$3,IF(D159="USD",E159*$J$3,E159)),"")</f>
        <v>0</v>
      </c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7" t="n">
        <f aca="false">IFERROR(IF(D160="JPY",E160*$I$3,IF(D160="USD",E160*$J$3,E160)),"")</f>
        <v>0</v>
      </c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7" t="n">
        <f aca="false">IFERROR(IF(D161="JPY",E161*$I$3,IF(D161="USD",E161*$J$3,E161)),"")</f>
        <v>0</v>
      </c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7" t="n">
        <f aca="false">IFERROR(IF(D162="JPY",E162*$I$3,IF(D162="USD",E162*$J$3,E162)),"")</f>
        <v>0</v>
      </c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7" t="n">
        <f aca="false">IFERROR(IF(D163="JPY",E163*$I$3,IF(D163="USD",E163*$J$3,E163)),"")</f>
        <v>0</v>
      </c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7" t="n">
        <f aca="false">IFERROR(IF(D164="JPY",E164*$I$3,IF(D164="USD",E164*$J$3,E164)),"")</f>
        <v>0</v>
      </c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7" t="n">
        <f aca="false">IFERROR(IF(D165="JPY",E165*$I$3,IF(D165="USD",E165*$J$3,E165)),"")</f>
        <v>0</v>
      </c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7" t="n">
        <f aca="false">IFERROR(IF(D166="JPY",E166*$I$3,IF(D166="USD",E166*$J$3,E166)),"")</f>
        <v>0</v>
      </c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7" t="n">
        <f aca="false">IFERROR(IF(D167="JPY",E167*$I$3,IF(D167="USD",E167*$J$3,E167)),"")</f>
        <v>0</v>
      </c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7" t="n">
        <f aca="false">IFERROR(IF(D168="JPY",E168*$I$3,IF(D168="USD",E168*$J$3,E168)),"")</f>
        <v>0</v>
      </c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7" t="n">
        <f aca="false">IFERROR(IF(D169="JPY",E169*$I$3,IF(D169="USD",E169*$J$3,E169)),"")</f>
        <v>0</v>
      </c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7" t="n">
        <f aca="false">IFERROR(IF(D170="JPY",E170*$I$3,IF(D170="USD",E170*$J$3,E170)),"")</f>
        <v>0</v>
      </c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7" t="n">
        <f aca="false">IFERROR(IF(D171="JPY",E171*$I$3,IF(D171="USD",E171*$J$3,E171)),"")</f>
        <v>0</v>
      </c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7" t="n">
        <f aca="false">IFERROR(IF(D172="JPY",E172*$I$3,IF(D172="USD",E172*$J$3,E172)),"")</f>
        <v>0</v>
      </c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7" t="n">
        <f aca="false">IFERROR(IF(D173="JPY",E173*$I$3,IF(D173="USD",E173*$J$3,E173)),"")</f>
        <v>0</v>
      </c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7" t="n">
        <f aca="false">IFERROR(IF(D174="JPY",E174*$I$3,IF(D174="USD",E174*$J$3,E174)),"")</f>
        <v>0</v>
      </c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7" t="n">
        <f aca="false">IFERROR(IF(D175="JPY",E175*$I$3,IF(D175="USD",E175*$J$3,E175)),"")</f>
        <v>0</v>
      </c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7" t="n">
        <f aca="false">IFERROR(IF(D176="JPY",E176*$I$3,IF(D176="USD",E176*$J$3,E176)),"")</f>
        <v>0</v>
      </c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7" t="n">
        <f aca="false">IFERROR(IF(D177="JPY",E177*$I$3,IF(D177="USD",E177*$J$3,E177)),"")</f>
        <v>0</v>
      </c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7" t="n">
        <f aca="false">IFERROR(IF(D178="JPY",E178*$I$3,IF(D178="USD",E178*$J$3,E178)),"")</f>
        <v>0</v>
      </c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7" t="n">
        <f aca="false">IFERROR(IF(D179="JPY",E179*$I$3,IF(D179="USD",E179*$J$3,E179)),"")</f>
        <v>0</v>
      </c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7" t="n">
        <f aca="false">IFERROR(IF(D180="JPY",E180*$I$3,IF(D180="USD",E180*$J$3,E180)),"")</f>
        <v>0</v>
      </c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7" t="n">
        <f aca="false">IFERROR(IF(D181="JPY",E181*$I$3,IF(D181="USD",E181*$J$3,E181)),"")</f>
        <v>0</v>
      </c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7" t="n">
        <f aca="false">IFERROR(IF(D182="JPY",E182*$I$3,IF(D182="USD",E182*$J$3,E182)),"")</f>
        <v>0</v>
      </c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7" t="n">
        <f aca="false">IFERROR(IF(D183="JPY",E183*$I$3,IF(D183="USD",E183*$J$3,E183)),"")</f>
        <v>0</v>
      </c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7" t="n">
        <f aca="false">IFERROR(IF(D184="JPY",E184*$I$3,IF(D184="USD",E184*$J$3,E184)),"")</f>
        <v>0</v>
      </c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7" t="n">
        <f aca="false">IFERROR(IF(D185="JPY",E185*$I$3,IF(D185="USD",E185*$J$3,E185)),"")</f>
        <v>0</v>
      </c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7" t="n">
        <f aca="false">IFERROR(IF(D186="JPY",E186*$I$3,IF(D186="USD",E186*$J$3,E186)),"")</f>
        <v>0</v>
      </c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7" t="n">
        <f aca="false">IFERROR(IF(D187="JPY",E187*$I$3,IF(D187="USD",E187*$J$3,E187)),"")</f>
        <v>0</v>
      </c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7" t="n">
        <f aca="false">IFERROR(IF(D188="JPY",E188*$I$3,IF(D188="USD",E188*$J$3,E188)),"")</f>
        <v>0</v>
      </c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7" t="n">
        <f aca="false">IFERROR(IF(D189="JPY",E189*$I$3,IF(D189="USD",E189*$J$3,E189)),"")</f>
        <v>0</v>
      </c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7" t="n">
        <f aca="false">IFERROR(IF(D190="JPY",E190*$I$3,IF(D190="USD",E190*$J$3,E190)),"")</f>
        <v>0</v>
      </c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7" t="n">
        <f aca="false">IFERROR(IF(D191="JPY",E191*$I$3,IF(D191="USD",E191*$J$3,E191)),"")</f>
        <v>0</v>
      </c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7" t="n">
        <f aca="false">IFERROR(IF(D192="JPY",E192*$I$3,IF(D192="USD",E192*$J$3,E192)),"")</f>
        <v>0</v>
      </c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7" t="n">
        <f aca="false">IFERROR(IF(D193="JPY",E193*$I$3,IF(D193="USD",E193*$J$3,E193)),"")</f>
        <v>0</v>
      </c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7" t="n">
        <f aca="false">IFERROR(IF(D194="JPY",E194*$I$3,IF(D194="USD",E194*$J$3,E194)),"")</f>
        <v>0</v>
      </c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7" t="n">
        <f aca="false">IFERROR(IF(D195="JPY",E195*$I$3,IF(D195="USD",E195*$J$3,E195)),"")</f>
        <v>0</v>
      </c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7" t="n">
        <f aca="false">IFERROR(IF(D196="JPY",E196*$I$3,IF(D196="USD",E196*$J$3,E196)),"")</f>
        <v>0</v>
      </c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7" t="n">
        <f aca="false">IFERROR(IF(D197="JPY",E197*$I$3,IF(D197="USD",E197*$J$3,E197)),"")</f>
        <v>0</v>
      </c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7" t="n">
        <f aca="false">IFERROR(IF(D198="JPY",E198*$I$3,IF(D198="USD",E198*$J$3,E198)),"")</f>
        <v>0</v>
      </c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7" t="n">
        <f aca="false">IFERROR(IF(D199="JPY",E199*$I$3,IF(D199="USD",E199*$J$3,E199)),"")</f>
        <v>0</v>
      </c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7" t="n">
        <f aca="false">IFERROR(IF(D200="JPY",E200*$I$3,IF(D200="USD",E200*$J$3,E200)),"")</f>
        <v>0</v>
      </c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7" t="n">
        <f aca="false">IFERROR(IF(D201="JPY",E201*$I$3,IF(D201="USD",E201*$J$3,E201)),"")</f>
        <v>0</v>
      </c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7" t="n">
        <f aca="false">IFERROR(IF(D202="JPY",E202*$I$3,IF(D202="USD",E202*$J$3,E202)),"")</f>
        <v>0</v>
      </c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7" t="n">
        <f aca="false">IFERROR(IF(D203="JPY",E203*$I$3,IF(D203="USD",E203*$J$3,E203)),"")</f>
        <v>0</v>
      </c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7" t="n">
        <f aca="false">IFERROR(IF(D204="JPY",E204*$I$3,IF(D204="USD",E204*$J$3,E204)),"")</f>
        <v>0</v>
      </c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7" t="n">
        <f aca="false">IFERROR(IF(D205="JPY",E205*$I$3,IF(D205="USD",E205*$J$3,E205)),"")</f>
        <v>0</v>
      </c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7" t="n">
        <f aca="false">IFERROR(IF(D206="JPY",E206*$I$3,IF(D206="USD",E206*$J$3,E206)),"")</f>
        <v>0</v>
      </c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7" t="n">
        <f aca="false">IFERROR(IF(D207="JPY",E207*$I$3,IF(D207="USD",E207*$J$3,E207)),"")</f>
        <v>0</v>
      </c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7" t="n">
        <f aca="false">IFERROR(IF(D208="JPY",E208*$I$3,IF(D208="USD",E208*$J$3,E208)),"")</f>
        <v>0</v>
      </c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7" t="n">
        <f aca="false">IFERROR(IF(D209="JPY",E209*$I$3,IF(D209="USD",E209*$J$3,E209)),"")</f>
        <v>0</v>
      </c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7" t="n">
        <f aca="false">IFERROR(IF(D210="JPY",E210*$I$3,IF(D210="USD",E210*$J$3,E210)),"")</f>
        <v>0</v>
      </c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7" t="n">
        <f aca="false">IFERROR(IF(D211="JPY",E211*$I$3,IF(D211="USD",E211*$J$3,E211)),"")</f>
        <v>0</v>
      </c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7" t="n">
        <f aca="false">IFERROR(IF(D212="JPY",E212*$I$3,IF(D212="USD",E212*$J$3,E212)),"")</f>
        <v>0</v>
      </c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7" t="n">
        <f aca="false">IFERROR(IF(D213="JPY",E213*$I$3,IF(D213="USD",E213*$J$3,E213)),"")</f>
        <v>0</v>
      </c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7" t="n">
        <f aca="false">IFERROR(IF(D214="JPY",E214*$I$3,IF(D214="USD",E214*$J$3,E214)),"")</f>
        <v>0</v>
      </c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7" t="n">
        <f aca="false">IFERROR(IF(D215="JPY",E215*$I$3,IF(D215="USD",E215*$J$3,E215)),"")</f>
        <v>0</v>
      </c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7" t="n">
        <f aca="false">IFERROR(IF(D216="JPY",E216*$I$3,IF(D216="USD",E216*$J$3,E216)),"")</f>
        <v>0</v>
      </c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7" t="n">
        <f aca="false">IFERROR(IF(D217="JPY",E217*$I$3,IF(D217="USD",E217*$J$3,E217)),"")</f>
        <v>0</v>
      </c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7" t="n">
        <f aca="false">IFERROR(IF(D218="JPY",E218*$I$3,IF(D218="USD",E218*$J$3,E218)),"")</f>
        <v>0</v>
      </c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7" t="n">
        <f aca="false">IFERROR(IF(D219="JPY",E219*$I$3,IF(D219="USD",E219*$J$3,E219)),"")</f>
        <v>0</v>
      </c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7" t="n">
        <f aca="false">IFERROR(IF(D220="JPY",E220*$I$3,IF(D220="USD",E220*$J$3,E220)),"")</f>
        <v>0</v>
      </c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7" t="n">
        <f aca="false">IFERROR(IF(D221="JPY",E221*$I$3,IF(D221="USD",E221*$J$3,E221)),"")</f>
        <v>0</v>
      </c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7" t="n">
        <f aca="false">IFERROR(IF(D222="JPY",E222*$I$3,IF(D222="USD",E222*$J$3,E222)),"")</f>
        <v>0</v>
      </c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7" t="n">
        <f aca="false">IFERROR(IF(D223="JPY",E223*$I$3,IF(D223="USD",E223*$J$3,E223)),"")</f>
        <v>0</v>
      </c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7" t="n">
        <f aca="false">IFERROR(IF(D224="JPY",E224*$I$3,IF(D224="USD",E224*$J$3,E224)),"")</f>
        <v>0</v>
      </c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7" t="n">
        <f aca="false">IFERROR(IF(D225="JPY",E225*$I$3,IF(D225="USD",E225*$J$3,E225)),"")</f>
        <v>0</v>
      </c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7" t="n">
        <f aca="false">IFERROR(IF(D226="JPY",E226*$I$3,IF(D226="USD",E226*$J$3,E226)),"")</f>
        <v>0</v>
      </c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7" t="n">
        <f aca="false">IFERROR(IF(D227="JPY",E227*$I$3,IF(D227="USD",E227*$J$3,E227)),"")</f>
        <v>0</v>
      </c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7" t="n">
        <f aca="false">IFERROR(IF(D228="JPY",E228*$I$3,IF(D228="USD",E228*$J$3,E228)),"")</f>
        <v>0</v>
      </c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7" t="n">
        <f aca="false">IFERROR(IF(D229="JPY",E229*$I$3,IF(D229="USD",E229*$J$3,E229)),"")</f>
        <v>0</v>
      </c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7" t="n">
        <f aca="false">IFERROR(IF(D230="JPY",E230*$I$3,IF(D230="USD",E230*$J$3,E230)),"")</f>
        <v>0</v>
      </c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7" t="n">
        <f aca="false">IFERROR(IF(D231="JPY",E231*$I$3,IF(D231="USD",E231*$J$3,E231)),"")</f>
        <v>0</v>
      </c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7" t="n">
        <f aca="false">IFERROR(IF(D232="JPY",E232*$I$3,IF(D232="USD",E232*$J$3,E232)),"")</f>
        <v>0</v>
      </c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7" t="n">
        <f aca="false">IFERROR(IF(D233="JPY",E233*$I$3,IF(D233="USD",E233*$J$3,E233)),"")</f>
        <v>0</v>
      </c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7" t="n">
        <f aca="false">IFERROR(IF(D234="JPY",E234*$I$3,IF(D234="USD",E234*$J$3,E234)),"")</f>
        <v>0</v>
      </c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7" t="n">
        <f aca="false">IFERROR(IF(D235="JPY",E235*$I$3,IF(D235="USD",E235*$J$3,E235)),"")</f>
        <v>0</v>
      </c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7" t="n">
        <f aca="false">IFERROR(IF(D236="JPY",E236*$I$3,IF(D236="USD",E236*$J$3,E236)),"")</f>
        <v>0</v>
      </c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7" t="n">
        <f aca="false">IFERROR(IF(D237="JPY",E237*$I$3,IF(D237="USD",E237*$J$3,E237)),"")</f>
        <v>0</v>
      </c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7" t="n">
        <f aca="false">IFERROR(IF(D238="JPY",E238*$I$3,IF(D238="USD",E238*$J$3,E238)),"")</f>
        <v>0</v>
      </c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7" t="n">
        <f aca="false">IFERROR(IF(D239="JPY",E239*$I$3,IF(D239="USD",E239*$J$3,E239)),"")</f>
        <v>0</v>
      </c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7" t="n">
        <f aca="false">IFERROR(IF(D240="JPY",E240*$I$3,IF(D240="USD",E240*$J$3,E240)),"")</f>
        <v>0</v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7" t="n">
        <f aca="false">IFERROR(IF(D241="JPY",E241*$I$3,IF(D241="USD",E241*$J$3,E241)),"")</f>
        <v>0</v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7" t="n">
        <f aca="false">IFERROR(IF(D242="JPY",E242*$I$3,IF(D242="USD",E242*$J$3,E242)),"")</f>
        <v>0</v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7" t="n">
        <f aca="false">IFERROR(IF(D243="JPY",E243*$I$3,IF(D243="USD",E243*$J$3,E243)),"")</f>
        <v>0</v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7" t="n">
        <f aca="false">IFERROR(IF(D244="JPY",E244*$I$3,IF(D244="USD",E244*$J$3,E244)),"")</f>
        <v>0</v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7" t="n">
        <f aca="false">IFERROR(IF(D245="JPY",E245*$I$3,IF(D245="USD",E245*$J$3,E245)),"")</f>
        <v>0</v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7" t="n">
        <f aca="false">IFERROR(IF(D246="JPY",E246*$I$3,IF(D246="USD",E246*$J$3,E246)),"")</f>
        <v>0</v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7" t="n">
        <f aca="false">IFERROR(IF(D247="JPY",E247*$I$3,IF(D247="USD",E247*$J$3,E247)),"")</f>
        <v>0</v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7" t="n">
        <f aca="false">IFERROR(IF(D248="JPY",E248*$I$3,IF(D248="USD",E248*$J$3,E248)),"")</f>
        <v>0</v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7" t="n">
        <f aca="false">IFERROR(IF(D249="JPY",E249*$I$3,IF(D249="USD",E249*$J$3,E249)),"")</f>
        <v>0</v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7" t="n">
        <f aca="false">IFERROR(IF(D250="JPY",E250*$I$3,IF(D250="USD",E250*$J$3,E250)),"")</f>
        <v>0</v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7" t="n">
        <f aca="false">IFERROR(IF(D251="JPY",E251*$I$3,IF(D251="USD",E251*$J$3,E251)),"")</f>
        <v>0</v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7" t="n">
        <f aca="false">IFERROR(IF(D252="JPY",E252*$I$3,IF(D252="USD",E252*$J$3,E252)),"")</f>
        <v>0</v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7" t="n">
        <f aca="false">IFERROR(IF(D253="JPY",E253*$I$3,IF(D253="USD",E253*$J$3,E253)),"")</f>
        <v>0</v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7" t="n">
        <f aca="false">IFERROR(IF(D254="JPY",E254*$I$3,IF(D254="USD",E254*$J$3,E254)),"")</f>
        <v>0</v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7" t="n">
        <f aca="false">IFERROR(IF(D255="JPY",E255*$I$3,IF(D255="USD",E255*$J$3,E255)),"")</f>
        <v>0</v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7" t="n">
        <f aca="false">IFERROR(IF(D256="JPY",E256*$I$3,IF(D256="USD",E256*$J$3,E256)),"")</f>
        <v>0</v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7" t="n">
        <f aca="false">IFERROR(IF(D257="JPY",E257*$I$3,IF(D257="USD",E257*$J$3,E257)),"")</f>
        <v>0</v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7" t="n">
        <f aca="false">IFERROR(IF(D258="JPY",E258*$I$3,IF(D258="USD",E258*$J$3,E258)),"")</f>
        <v>0</v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7" t="n">
        <f aca="false">IFERROR(IF(D259="JPY",E259*$I$3,IF(D259="USD",E259*$J$3,E259)),"")</f>
        <v>0</v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7" t="n">
        <f aca="false">IFERROR(IF(D260="JPY",E260*$I$3,IF(D260="USD",E260*$J$3,E260)),"")</f>
        <v>0</v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7" t="n">
        <f aca="false">IFERROR(IF(D261="JPY",E261*$I$3,IF(D261="USD",E261*$J$3,E261)),"")</f>
        <v>0</v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7" t="n">
        <f aca="false">IFERROR(IF(D262="JPY",E262*$I$3,IF(D262="USD",E262*$J$3,E262)),"")</f>
        <v>0</v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7" t="n">
        <f aca="false">IFERROR(IF(D263="JPY",E263*$I$3,IF(D263="USD",E263*$J$3,E263)),"")</f>
        <v>0</v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7" t="n">
        <f aca="false">IFERROR(IF(D264="JPY",E264*$I$3,IF(D264="USD",E264*$J$3,E264)),"")</f>
        <v>0</v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7" t="n">
        <f aca="false">IFERROR(IF(D265="JPY",E265*$I$3,IF(D265="USD",E265*$J$3,E265)),"")</f>
        <v>0</v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7" t="n">
        <f aca="false">IFERROR(IF(D266="JPY",E266*$I$3,IF(D266="USD",E266*$J$3,E266)),"")</f>
        <v>0</v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7" t="n">
        <f aca="false">IFERROR(IF(D267="JPY",E267*$I$3,IF(D267="USD",E267*$J$3,E267)),"")</f>
        <v>0</v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7" t="n">
        <f aca="false">IFERROR(IF(D268="JPY",E268*$I$3,IF(D268="USD",E268*$J$3,E268)),"")</f>
        <v>0</v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7" t="n">
        <f aca="false">IFERROR(IF(D269="JPY",E269*$I$3,IF(D269="USD",E269*$J$3,E269)),"")</f>
        <v>0</v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7" t="n">
        <f aca="false">IFERROR(IF(D270="JPY",E270*$I$3,IF(D270="USD",E270*$J$3,E270)),"")</f>
        <v>0</v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7" t="n">
        <f aca="false">IFERROR(IF(D271="JPY",E271*$I$3,IF(D271="USD",E271*$J$3,E271)),"")</f>
        <v>0</v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7" t="n">
        <f aca="false">IFERROR(IF(D272="JPY",E272*$I$3,IF(D272="USD",E272*$J$3,E272)),"")</f>
        <v>0</v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7" t="n">
        <f aca="false">IFERROR(IF(D273="JPY",E273*$I$3,IF(D273="USD",E273*$J$3,E273)),"")</f>
        <v>0</v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7" t="n">
        <f aca="false">IFERROR(IF(D274="JPY",E274*$I$3,IF(D274="USD",E274*$J$3,E274)),"")</f>
        <v>0</v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7" t="n">
        <f aca="false">IFERROR(IF(D275="JPY",E275*$I$3,IF(D275="USD",E275*$J$3,E275)),"")</f>
        <v>0</v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7" t="n">
        <f aca="false">IFERROR(IF(D276="JPY",E276*$I$3,IF(D276="USD",E276*$J$3,E276)),"")</f>
        <v>0</v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7" t="n">
        <f aca="false">IFERROR(IF(D277="JPY",E277*$I$3,IF(D277="USD",E277*$J$3,E277)),"")</f>
        <v>0</v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7" t="n">
        <f aca="false">IFERROR(IF(D278="JPY",E278*$I$3,IF(D278="USD",E278*$J$3,E278)),"")</f>
        <v>0</v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7" t="n">
        <f aca="false">IFERROR(IF(D279="JPY",E279*$I$3,IF(D279="USD",E279*$J$3,E279)),"")</f>
        <v>0</v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7" t="n">
        <f aca="false">IFERROR(IF(D280="JPY",E280*$I$3,IF(D280="USD",E280*$J$3,E280)),"")</f>
        <v>0</v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7" t="n">
        <f aca="false">IFERROR(IF(D281="JPY",E281*$I$3,IF(D281="USD",E281*$J$3,E281)),"")</f>
        <v>0</v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7" t="n">
        <f aca="false">IFERROR(IF(D282="JPY",E282*$I$3,IF(D282="USD",E282*$J$3,E282)),"")</f>
        <v>0</v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7" t="n">
        <f aca="false">IFERROR(IF(D283="JPY",E283*$I$3,IF(D283="USD",E283*$J$3,E283)),"")</f>
        <v>0</v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7" t="n">
        <f aca="false">IFERROR(IF(D284="JPY",E284*$I$3,IF(D284="USD",E284*$J$3,E284)),"")</f>
        <v>0</v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7" t="n">
        <f aca="false">IFERROR(IF(D285="JPY",E285*$I$3,IF(D285="USD",E285*$J$3,E285)),"")</f>
        <v>0</v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7" t="n">
        <f aca="false">IFERROR(IF(D286="JPY",E286*$I$3,IF(D286="USD",E286*$J$3,E286)),"")</f>
        <v>0</v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7" t="n">
        <f aca="false">IFERROR(IF(D287="JPY",E287*$I$3,IF(D287="USD",E287*$J$3,E287)),"")</f>
        <v>0</v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7" t="n">
        <f aca="false">IFERROR(IF(D288="JPY",E288*$I$3,IF(D288="USD",E288*$J$3,E288)),"")</f>
        <v>0</v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7" t="n">
        <f aca="false">IFERROR(IF(D289="JPY",E289*$I$3,IF(D289="USD",E289*$J$3,E289)),"")</f>
        <v>0</v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7" t="n">
        <f aca="false">IFERROR(IF(D290="JPY",E290*$I$3,IF(D290="USD",E290*$J$3,E290)),"")</f>
        <v>0</v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7" t="n">
        <f aca="false">IFERROR(IF(D291="JPY",E291*$I$3,IF(D291="USD",E291*$J$3,E291)),"")</f>
        <v>0</v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7" t="n">
        <f aca="false">IFERROR(IF(D292="JPY",E292*$I$3,IF(D292="USD",E292*$J$3,E292)),"")</f>
        <v>0</v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7" t="n">
        <f aca="false">IFERROR(IF(D293="JPY",E293*$I$3,IF(D293="USD",E293*$J$3,E293)),"")</f>
        <v>0</v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7" t="n">
        <f aca="false">IFERROR(IF(D294="JPY",E294*$I$3,IF(D294="USD",E294*$J$3,E294)),"")</f>
        <v>0</v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7" t="n">
        <f aca="false">IFERROR(IF(D295="JPY",E295*$I$3,IF(D295="USD",E295*$J$3,E295)),"")</f>
        <v>0</v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7" t="n">
        <f aca="false">IFERROR(IF(D296="JPY",E296*$I$3,IF(D296="USD",E296*$J$3,E296)),"")</f>
        <v>0</v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7" t="n">
        <f aca="false">IFERROR(IF(D297="JPY",E297*$I$3,IF(D297="USD",E297*$J$3,E297)),"")</f>
        <v>0</v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7" t="n">
        <f aca="false">IFERROR(IF(D298="JPY",E298*$I$3,IF(D298="USD",E298*$J$3,E298)),"")</f>
        <v>0</v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7" t="n">
        <f aca="false">IFERROR(IF(D299="JPY",E299*$I$3,IF(D299="USD",E299*$J$3,E299)),"")</f>
        <v>0</v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7" t="n">
        <f aca="false">IFERROR(IF(D300="JPY",E300*$I$3,IF(D300="USD",E300*$J$3,E300)),"")</f>
        <v>0</v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7" t="n">
        <f aca="false">IFERROR(IF(D301="JPY",E301*$I$3,IF(D301="USD",E301*$J$3,E301)),"")</f>
        <v>0</v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7" t="n">
        <f aca="false">IFERROR(IF(D302="JPY",E302*$I$3,IF(D302="USD",E302*$J$3,E302)),"")</f>
        <v>0</v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7" t="n">
        <f aca="false">IFERROR(IF(D303="JPY",E303*$I$3,IF(D303="USD",E303*$J$3,E303)),"")</f>
        <v>0</v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7" t="n">
        <f aca="false">IFERROR(IF(D304="JPY",E304*$I$3,IF(D304="USD",E304*$J$3,E304)),"")</f>
        <v>0</v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7" t="n">
        <f aca="false">IFERROR(IF(D305="JPY",E305*$I$3,IF(D305="USD",E305*$J$3,E305)),"")</f>
        <v>0</v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7" t="n">
        <f aca="false">IFERROR(IF(D306="JPY",E306*$I$3,IF(D306="USD",E306*$J$3,E306)),"")</f>
        <v>0</v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7" t="n">
        <f aca="false">IFERROR(IF(D307="JPY",E307*$I$3,IF(D307="USD",E307*$J$3,E307)),"")</f>
        <v>0</v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7" t="n">
        <f aca="false">IFERROR(IF(D308="JPY",E308*$I$3,IF(D308="USD",E308*$J$3,E308)),"")</f>
        <v>0</v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7" t="n">
        <f aca="false">IFERROR(IF(D309="JPY",E309*$I$3,IF(D309="USD",E309*$J$3,E309)),"")</f>
        <v>0</v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7" t="n">
        <f aca="false">IFERROR(IF(D310="JPY",E310*$I$3,IF(D310="USD",E310*$J$3,E310)),"")</f>
        <v>0</v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7" t="n">
        <f aca="false">IFERROR(IF(D311="JPY",E311*$I$3,IF(D311="USD",E311*$J$3,E311)),"")</f>
        <v>0</v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7" t="n">
        <f aca="false">IFERROR(IF(D312="JPY",E312*$I$3,IF(D312="USD",E312*$J$3,E312)),"")</f>
        <v>0</v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7" t="n">
        <f aca="false">IFERROR(IF(D313="JPY",E313*$I$3,IF(D313="USD",E313*$J$3,E313)),"")</f>
        <v>0</v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7" t="n">
        <f aca="false">IFERROR(IF(D314="JPY",E314*$I$3,IF(D314="USD",E314*$J$3,E314)),"")</f>
        <v>0</v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7" t="n">
        <f aca="false">IFERROR(IF(D315="JPY",E315*$I$3,IF(D315="USD",E315*$J$3,E315)),"")</f>
        <v>0</v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7" t="n">
        <f aca="false">IFERROR(IF(D316="JPY",E316*$I$3,IF(D316="USD",E316*$J$3,E316)),"")</f>
        <v>0</v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7" t="n">
        <f aca="false">IFERROR(IF(D317="JPY",E317*$I$3,IF(D317="USD",E317*$J$3,E317)),"")</f>
        <v>0</v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7" t="n">
        <f aca="false">IFERROR(IF(D318="JPY",E318*$I$3,IF(D318="USD",E318*$J$3,E318)),"")</f>
        <v>0</v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7" t="n">
        <f aca="false">IFERROR(IF(D319="JPY",E319*$I$3,IF(D319="USD",E319*$J$3,E319)),"")</f>
        <v>0</v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7" t="n">
        <f aca="false">IFERROR(IF(D320="JPY",E320*$I$3,IF(D320="USD",E320*$J$3,E320)),"")</f>
        <v>0</v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7" t="n">
        <f aca="false">IFERROR(IF(D321="JPY",E321*$I$3,IF(D321="USD",E321*$J$3,E321)),"")</f>
        <v>0</v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7" t="n">
        <f aca="false">IFERROR(IF(D322="JPY",E322*$I$3,IF(D322="USD",E322*$J$3,E322)),"")</f>
        <v>0</v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7" t="n">
        <f aca="false">IFERROR(IF(D323="JPY",E323*$I$3,IF(D323="USD",E323*$J$3,E323)),"")</f>
        <v>0</v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7" t="n">
        <f aca="false">IFERROR(IF(D324="JPY",E324*$I$3,IF(D324="USD",E324*$J$3,E324)),"")</f>
        <v>0</v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7" t="n">
        <f aca="false">IFERROR(IF(D325="JPY",E325*$I$3,IF(D325="USD",E325*$J$3,E325)),"")</f>
        <v>0</v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7" t="n">
        <f aca="false">IFERROR(IF(D326="JPY",E326*$I$3,IF(D326="USD",E326*$J$3,E326)),"")</f>
        <v>0</v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7" t="n">
        <f aca="false">IFERROR(IF(D327="JPY",E327*$I$3,IF(D327="USD",E327*$J$3,E327)),"")</f>
        <v>0</v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7" t="n">
        <f aca="false">IFERROR(IF(D328="JPY",E328*$I$3,IF(D328="USD",E328*$J$3,E328)),"")</f>
        <v>0</v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7" t="n">
        <f aca="false">IFERROR(IF(D329="JPY",E329*$I$3,IF(D329="USD",E329*$J$3,E329)),"")</f>
        <v>0</v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7" t="n">
        <f aca="false">IFERROR(IF(D330="JPY",E330*$I$3,IF(D330="USD",E330*$J$3,E330)),"")</f>
        <v>0</v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7" t="n">
        <f aca="false">IFERROR(IF(D331="JPY",E331*$I$3,IF(D331="USD",E331*$J$3,E331)),"")</f>
        <v>0</v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7" t="n">
        <f aca="false">IFERROR(IF(D332="JPY",E332*$I$3,IF(D332="USD",E332*$J$3,E332)),"")</f>
        <v>0</v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7" t="n">
        <f aca="false">IFERROR(IF(D333="JPY",E333*$I$3,IF(D333="USD",E333*$J$3,E333)),"")</f>
        <v>0</v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7" t="n">
        <f aca="false">IFERROR(IF(D334="JPY",E334*$I$3,IF(D334="USD",E334*$J$3,E334)),"")</f>
        <v>0</v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7" t="n">
        <f aca="false">IFERROR(IF(D335="JPY",E335*$I$3,IF(D335="USD",E335*$J$3,E335)),"")</f>
        <v>0</v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7" t="n">
        <f aca="false">IFERROR(IF(D336="JPY",E336*$I$3,IF(D336="USD",E336*$J$3,E336)),"")</f>
        <v>0</v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7" t="n">
        <f aca="false">IFERROR(IF(D337="JPY",E337*$I$3,IF(D337="USD",E337*$J$3,E337)),"")</f>
        <v>0</v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7" t="n">
        <f aca="false">IFERROR(IF(D338="JPY",E338*$I$3,IF(D338="USD",E338*$J$3,E338)),"")</f>
        <v>0</v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7" t="n">
        <f aca="false">IFERROR(IF(D339="JPY",E339*$I$3,IF(D339="USD",E339*$J$3,E339)),"")</f>
        <v>0</v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7" t="n">
        <f aca="false">IFERROR(IF(D340="JPY",E340*$I$3,IF(D340="USD",E340*$J$3,E340)),"")</f>
        <v>0</v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7" t="n">
        <f aca="false">IFERROR(IF(D341="JPY",E341*$I$3,IF(D341="USD",E341*$J$3,E341)),"")</f>
        <v>0</v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7" t="n">
        <f aca="false">IFERROR(IF(D342="JPY",E342*$I$3,IF(D342="USD",E342*$J$3,E342)),"")</f>
        <v>0</v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7" t="n">
        <f aca="false">IFERROR(IF(D343="JPY",E343*$I$3,IF(D343="USD",E343*$J$3,E343)),"")</f>
        <v>0</v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7" t="n">
        <f aca="false">IFERROR(IF(D344="JPY",E344*$I$3,IF(D344="USD",E344*$J$3,E344)),"")</f>
        <v>0</v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7" t="n">
        <f aca="false">IFERROR(IF(D345="JPY",E345*$I$3,IF(D345="USD",E345*$J$3,E345)),"")</f>
        <v>0</v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7" t="n">
        <f aca="false">IFERROR(IF(D346="JPY",E346*$I$3,IF(D346="USD",E346*$J$3,E346)),"")</f>
        <v>0</v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7" t="n">
        <f aca="false">IFERROR(IF(D347="JPY",E347*$I$3,IF(D347="USD",E347*$J$3,E347)),"")</f>
        <v>0</v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7" t="n">
        <f aca="false">IFERROR(IF(D348="JPY",E348*$I$3,IF(D348="USD",E348*$J$3,E348)),"")</f>
        <v>0</v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7" t="n">
        <f aca="false">IFERROR(IF(D349="JPY",E349*$I$3,IF(D349="USD",E349*$J$3,E349)),"")</f>
        <v>0</v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7" t="n">
        <f aca="false">IFERROR(IF(D350="JPY",E350*$I$3,IF(D350="USD",E350*$J$3,E350)),"")</f>
        <v>0</v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7" t="n">
        <f aca="false">IFERROR(IF(D351="JPY",E351*$I$3,IF(D351="USD",E351*$J$3,E351)),"")</f>
        <v>0</v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7" t="n">
        <f aca="false">IFERROR(IF(D352="JPY",E352*$I$3,IF(D352="USD",E352*$J$3,E352)),"")</f>
        <v>0</v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7" t="n">
        <f aca="false">IFERROR(IF(D353="JPY",E353*$I$3,IF(D353="USD",E353*$J$3,E353)),"")</f>
        <v>0</v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7" t="n">
        <f aca="false">IFERROR(IF(D354="JPY",E354*$I$3,IF(D354="USD",E354*$J$3,E354)),"")</f>
        <v>0</v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7" t="n">
        <f aca="false">IFERROR(IF(D355="JPY",E355*$I$3,IF(D355="USD",E355*$J$3,E355)),"")</f>
        <v>0</v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7" t="n">
        <f aca="false">IFERROR(IF(D356="JPY",E356*$I$3,IF(D356="USD",E356*$J$3,E356)),"")</f>
        <v>0</v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7" t="n">
        <f aca="false">IFERROR(IF(D357="JPY",E357*$I$3,IF(D357="USD",E357*$J$3,E357)),"")</f>
        <v>0</v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7" t="n">
        <f aca="false">IFERROR(IF(D358="JPY",E358*$I$3,IF(D358="USD",E358*$J$3,E358)),"")</f>
        <v>0</v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7" t="n">
        <f aca="false">IFERROR(IF(D359="JPY",E359*$I$3,IF(D359="USD",E359*$J$3,E359)),"")</f>
        <v>0</v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7" t="n">
        <f aca="false">IFERROR(IF(D360="JPY",E360*$I$3,IF(D360="USD",E360*$J$3,E360)),"")</f>
        <v>0</v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7" t="n">
        <f aca="false">IFERROR(IF(D361="JPY",E361*$I$3,IF(D361="USD",E361*$J$3,E361)),"")</f>
        <v>0</v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7" t="n">
        <f aca="false">IFERROR(IF(D362="JPY",E362*$I$3,IF(D362="USD",E362*$J$3,E362)),"")</f>
        <v>0</v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7" t="n">
        <f aca="false">IFERROR(IF(D363="JPY",E363*$I$3,IF(D363="USD",E363*$J$3,E363)),"")</f>
        <v>0</v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7" t="n">
        <f aca="false">IFERROR(IF(D364="JPY",E364*$I$3,IF(D364="USD",E364*$J$3,E364)),"")</f>
        <v>0</v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7" t="n">
        <f aca="false">IFERROR(IF(D365="JPY",E365*$I$3,IF(D365="USD",E365*$J$3,E365)),"")</f>
        <v>0</v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7" t="n">
        <f aca="false">IFERROR(IF(D366="JPY",E366*$I$3,IF(D366="USD",E366*$J$3,E366)),"")</f>
        <v>0</v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7" t="n">
        <f aca="false">IFERROR(IF(D367="JPY",E367*$I$3,IF(D367="USD",E367*$J$3,E367)),"")</f>
        <v>0</v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7" t="n">
        <f aca="false">IFERROR(IF(D368="JPY",E368*$I$3,IF(D368="USD",E368*$J$3,E368)),"")</f>
        <v>0</v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7" t="n">
        <f aca="false">IFERROR(IF(D369="JPY",E369*$I$3,IF(D369="USD",E369*$J$3,E369)),"")</f>
        <v>0</v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7" t="n">
        <f aca="false">IFERROR(IF(D370="JPY",E370*$I$3,IF(D370="USD",E370*$J$3,E370)),"")</f>
        <v>0</v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7" t="n">
        <f aca="false">IFERROR(IF(D371="JPY",E371*$I$3,IF(D371="USD",E371*$J$3,E371)),"")</f>
        <v>0</v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7" t="n">
        <f aca="false">IFERROR(IF(D372="JPY",E372*$I$3,IF(D372="USD",E372*$J$3,E372)),"")</f>
        <v>0</v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7" t="n">
        <f aca="false">IFERROR(IF(D373="JPY",E373*$I$3,IF(D373="USD",E373*$J$3,E373)),"")</f>
        <v>0</v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7" t="n">
        <f aca="false">IFERROR(IF(D374="JPY",E374*$I$3,IF(D374="USD",E374*$J$3,E374)),"")</f>
        <v>0</v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7" t="n">
        <f aca="false">IFERROR(IF(D375="JPY",E375*$I$3,IF(D375="USD",E375*$J$3,E375)),"")</f>
        <v>0</v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7" t="n">
        <f aca="false">IFERROR(IF(D376="JPY",E376*$I$3,IF(D376="USD",E376*$J$3,E376)),"")</f>
        <v>0</v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7" t="n">
        <f aca="false">IFERROR(IF(D377="JPY",E377*$I$3,IF(D377="USD",E377*$J$3,E377)),"")</f>
        <v>0</v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7" t="n">
        <f aca="false">IFERROR(IF(D378="JPY",E378*$I$3,IF(D378="USD",E378*$J$3,E378)),"")</f>
        <v>0</v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7" t="n">
        <f aca="false">IFERROR(IF(D379="JPY",E379*$I$3,IF(D379="USD",E379*$J$3,E379)),"")</f>
        <v>0</v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7" t="n">
        <f aca="false">IFERROR(IF(D380="JPY",E380*$I$3,IF(D380="USD",E380*$J$3,E380)),"")</f>
        <v>0</v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7" t="n">
        <f aca="false">IFERROR(IF(D381="JPY",E381*$I$3,IF(D381="USD",E381*$J$3,E381)),"")</f>
        <v>0</v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7" t="n">
        <f aca="false">IFERROR(IF(D382="JPY",E382*$I$3,IF(D382="USD",E382*$J$3,E382)),"")</f>
        <v>0</v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7" t="n">
        <f aca="false">IFERROR(IF(D383="JPY",E383*$I$3,IF(D383="USD",E383*$J$3,E383)),"")</f>
        <v>0</v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7" t="n">
        <f aca="false">IFERROR(IF(D384="JPY",E384*$I$3,IF(D384="USD",E384*$J$3,E384)),"")</f>
        <v>0</v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7" t="n">
        <f aca="false">IFERROR(IF(D385="JPY",E385*$I$3,IF(D385="USD",E385*$J$3,E385)),"")</f>
        <v>0</v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7" t="n">
        <f aca="false">IFERROR(IF(D386="JPY",E386*$I$3,IF(D386="USD",E386*$J$3,E386)),"")</f>
        <v>0</v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7" t="n">
        <f aca="false">IFERROR(IF(D387="JPY",E387*$I$3,IF(D387="USD",E387*$J$3,E387)),"")</f>
        <v>0</v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7" t="n">
        <f aca="false">IFERROR(IF(D388="JPY",E388*$I$3,IF(D388="USD",E388*$J$3,E388)),"")</f>
        <v>0</v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7" t="n">
        <f aca="false">IFERROR(IF(D389="JPY",E389*$I$3,IF(D389="USD",E389*$J$3,E389)),"")</f>
        <v>0</v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7" t="n">
        <f aca="false">IFERROR(IF(D390="JPY",E390*$I$3,IF(D390="USD",E390*$J$3,E390)),"")</f>
        <v>0</v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7" t="n">
        <f aca="false">IFERROR(IF(D391="JPY",E391*$I$3,IF(D391="USD",E391*$J$3,E391)),"")</f>
        <v>0</v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7" t="n">
        <f aca="false">IFERROR(IF(D392="JPY",E392*$I$3,IF(D392="USD",E392*$J$3,E392)),"")</f>
        <v>0</v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7" t="n">
        <f aca="false">IFERROR(IF(D393="JPY",E393*$I$3,IF(D393="USD",E393*$J$3,E393)),"")</f>
        <v>0</v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7" t="n">
        <f aca="false">IFERROR(IF(D394="JPY",E394*$I$3,IF(D394="USD",E394*$J$3,E394)),"")</f>
        <v>0</v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7" t="n">
        <f aca="false">IFERROR(IF(D395="JPY",E395*$I$3,IF(D395="USD",E395*$J$3,E395)),"")</f>
        <v>0</v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7" t="n">
        <f aca="false">IFERROR(IF(D396="JPY",E396*$I$3,IF(D396="USD",E396*$J$3,E396)),"")</f>
        <v>0</v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7" t="n">
        <f aca="false">IFERROR(IF(D397="JPY",E397*$I$3,IF(D397="USD",E397*$J$3,E397)),"")</f>
        <v>0</v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7" t="n">
        <f aca="false">IFERROR(IF(D398="JPY",E398*$I$3,IF(D398="USD",E398*$J$3,E398)),"")</f>
        <v>0</v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7" t="n">
        <f aca="false">IFERROR(IF(D399="JPY",E399*$I$3,IF(D399="USD",E399*$J$3,E399)),"")</f>
        <v>0</v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7" t="n">
        <f aca="false">IFERROR(IF(D400="JPY",E400*$I$3,IF(D400="USD",E400*$J$3,E400)),"")</f>
        <v>0</v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7" t="n">
        <f aca="false">IFERROR(IF(D401="JPY",E401*$I$3,IF(D401="USD",E401*$J$3,E401)),"")</f>
        <v>0</v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7" t="n">
        <f aca="false">IFERROR(IF(D402="JPY",E402*$I$3,IF(D402="USD",E402*$J$3,E402)),"")</f>
        <v>0</v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7" t="n">
        <f aca="false">IFERROR(IF(D403="JPY",E403*$I$3,IF(D403="USD",E403*$J$3,E403)),"")</f>
        <v>0</v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7" t="n">
        <f aca="false">IFERROR(IF(D404="JPY",E404*$I$3,IF(D404="USD",E404*$J$3,E404)),"")</f>
        <v>0</v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7" t="n">
        <f aca="false">IFERROR(IF(D405="JPY",E405*$I$3,IF(D405="USD",E405*$J$3,E405)),"")</f>
        <v>0</v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7" t="n">
        <f aca="false">IFERROR(IF(D406="JPY",E406*$I$3,IF(D406="USD",E406*$J$3,E406)),"")</f>
        <v>0</v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7" t="n">
        <f aca="false">IFERROR(IF(D407="JPY",E407*$I$3,IF(D407="USD",E407*$J$3,E407)),"")</f>
        <v>0</v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7" t="n">
        <f aca="false">IFERROR(IF(D408="JPY",E408*$I$3,IF(D408="USD",E408*$J$3,E408)),"")</f>
        <v>0</v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7" t="n">
        <f aca="false">IFERROR(IF(D409="JPY",E409*$I$3,IF(D409="USD",E409*$J$3,E409)),"")</f>
        <v>0</v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7" t="n">
        <f aca="false">IFERROR(IF(D410="JPY",E410*$I$3,IF(D410="USD",E410*$J$3,E410)),"")</f>
        <v>0</v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7" t="n">
        <f aca="false">IFERROR(IF(D411="JPY",E411*$I$3,IF(D411="USD",E411*$J$3,E411)),"")</f>
        <v>0</v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7" t="n">
        <f aca="false">IFERROR(IF(D412="JPY",E412*$I$3,IF(D412="USD",E412*$J$3,E412)),"")</f>
        <v>0</v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7" t="n">
        <f aca="false">IFERROR(IF(D413="JPY",E413*$I$3,IF(D413="USD",E413*$J$3,E413)),"")</f>
        <v>0</v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7" t="n">
        <f aca="false">IFERROR(IF(D414="JPY",E414*$I$3,IF(D414="USD",E414*$J$3,E414)),"")</f>
        <v>0</v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7" t="n">
        <f aca="false">IFERROR(IF(D415="JPY",E415*$I$3,IF(D415="USD",E415*$J$3,E415)),"")</f>
        <v>0</v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7" t="n">
        <f aca="false">IFERROR(IF(D416="JPY",E416*$I$3,IF(D416="USD",E416*$J$3,E416)),"")</f>
        <v>0</v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7" t="n">
        <f aca="false">IFERROR(IF(D417="JPY",E417*$I$3,IF(D417="USD",E417*$J$3,E417)),"")</f>
        <v>0</v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7" t="n">
        <f aca="false">IFERROR(IF(D418="JPY",E418*$I$3,IF(D418="USD",E418*$J$3,E418)),"")</f>
        <v>0</v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7" t="n">
        <f aca="false">IFERROR(IF(D419="JPY",E419*$I$3,IF(D419="USD",E419*$J$3,E419)),"")</f>
        <v>0</v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7" t="n">
        <f aca="false">IFERROR(IF(D420="JPY",E420*$I$3,IF(D420="USD",E420*$J$3,E420)),"")</f>
        <v>0</v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7" t="n">
        <f aca="false">IFERROR(IF(D421="JPY",E421*$I$3,IF(D421="USD",E421*$J$3,E421)),"")</f>
        <v>0</v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7" t="n">
        <f aca="false">IFERROR(IF(D422="JPY",E422*$I$3,IF(D422="USD",E422*$J$3,E422)),"")</f>
        <v>0</v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7" t="n">
        <f aca="false">IFERROR(IF(D423="JPY",E423*$I$3,IF(D423="USD",E423*$J$3,E423)),"")</f>
        <v>0</v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7" t="n">
        <f aca="false">IFERROR(IF(D424="JPY",E424*$I$3,IF(D424="USD",E424*$J$3,E424)),"")</f>
        <v>0</v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7" t="n">
        <f aca="false">IFERROR(IF(D425="JPY",E425*$I$3,IF(D425="USD",E425*$J$3,E425)),"")</f>
        <v>0</v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7" t="n">
        <f aca="false">IFERROR(IF(D426="JPY",E426*$I$3,IF(D426="USD",E426*$J$3,E426)),"")</f>
        <v>0</v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7" t="n">
        <f aca="false">IFERROR(IF(D427="JPY",E427*$I$3,IF(D427="USD",E427*$J$3,E427)),"")</f>
        <v>0</v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7" t="n">
        <f aca="false">IFERROR(IF(D428="JPY",E428*$I$3,IF(D428="USD",E428*$J$3,E428)),"")</f>
        <v>0</v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7" t="n">
        <f aca="false">IFERROR(IF(D429="JPY",E429*$I$3,IF(D429="USD",E429*$J$3,E429)),"")</f>
        <v>0</v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7" t="n">
        <f aca="false">IFERROR(IF(D430="JPY",E430*$I$3,IF(D430="USD",E430*$J$3,E430)),"")</f>
        <v>0</v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7" t="n">
        <f aca="false">IFERROR(IF(D431="JPY",E431*$I$3,IF(D431="USD",E431*$J$3,E431)),"")</f>
        <v>0</v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7" t="n">
        <f aca="false">IFERROR(IF(D432="JPY",E432*$I$3,IF(D432="USD",E432*$J$3,E432)),"")</f>
        <v>0</v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7" t="n">
        <f aca="false">IFERROR(IF(D433="JPY",E433*$I$3,IF(D433="USD",E433*$J$3,E433)),"")</f>
        <v>0</v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7" t="n">
        <f aca="false">IFERROR(IF(D434="JPY",E434*$I$3,IF(D434="USD",E434*$J$3,E434)),"")</f>
        <v>0</v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7" t="n">
        <f aca="false">IFERROR(IF(D435="JPY",E435*$I$3,IF(D435="USD",E435*$J$3,E435)),"")</f>
        <v>0</v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7" t="n">
        <f aca="false">IFERROR(IF(D436="JPY",E436*$I$3,IF(D436="USD",E436*$J$3,E436)),"")</f>
        <v>0</v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7" t="n">
        <f aca="false">IFERROR(IF(D437="JPY",E437*$I$3,IF(D437="USD",E437*$J$3,E437)),"")</f>
        <v>0</v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7" t="n">
        <f aca="false">IFERROR(IF(D438="JPY",E438*$I$3,IF(D438="USD",E438*$J$3,E438)),"")</f>
        <v>0</v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7" t="n">
        <f aca="false">IFERROR(IF(D439="JPY",E439*$I$3,IF(D439="USD",E439*$J$3,E439)),"")</f>
        <v>0</v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7" t="n">
        <f aca="false">IFERROR(IF(D440="JPY",E440*$I$3,IF(D440="USD",E440*$J$3,E440)),"")</f>
        <v>0</v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7" t="n">
        <f aca="false">IFERROR(IF(D441="JPY",E441*$I$3,IF(D441="USD",E441*$J$3,E441)),"")</f>
        <v>0</v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7" t="n">
        <f aca="false">IFERROR(IF(D442="JPY",E442*$I$3,IF(D442="USD",E442*$J$3,E442)),"")</f>
        <v>0</v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7" t="n">
        <f aca="false">IFERROR(IF(D443="JPY",E443*$I$3,IF(D443="USD",E443*$J$3,E443)),"")</f>
        <v>0</v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7" t="n">
        <f aca="false">IFERROR(IF(D444="JPY",E444*$I$3,IF(D444="USD",E444*$J$3,E444)),"")</f>
        <v>0</v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7" t="n">
        <f aca="false">IFERROR(IF(D445="JPY",E445*$I$3,IF(D445="USD",E445*$J$3,E445)),"")</f>
        <v>0</v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7" t="n">
        <f aca="false">IFERROR(IF(D446="JPY",E446*$I$3,IF(D446="USD",E446*$J$3,E446)),"")</f>
        <v>0</v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7" t="n">
        <f aca="false">IFERROR(IF(D447="JPY",E447*$I$3,IF(D447="USD",E447*$J$3,E447)),"")</f>
        <v>0</v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7" t="n">
        <f aca="false">IFERROR(IF(D448="JPY",E448*$I$3,IF(D448="USD",E448*$J$3,E448)),"")</f>
        <v>0</v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7" t="n">
        <f aca="false">IFERROR(IF(D449="JPY",E449*$I$3,IF(D449="USD",E449*$J$3,E449)),"")</f>
        <v>0</v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7" t="n">
        <f aca="false">IFERROR(IF(D450="JPY",E450*$I$3,IF(D450="USD",E450*$J$3,E450)),"")</f>
        <v>0</v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7" t="n">
        <f aca="false">IFERROR(IF(D451="JPY",E451*$I$3,IF(D451="USD",E451*$J$3,E451)),"")</f>
        <v>0</v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7" t="n">
        <f aca="false">IFERROR(IF(D452="JPY",E452*$I$3,IF(D452="USD",E452*$J$3,E452)),"")</f>
        <v>0</v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7" t="n">
        <f aca="false">IFERROR(IF(D453="JPY",E453*$I$3,IF(D453="USD",E453*$J$3,E453)),"")</f>
        <v>0</v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7" t="n">
        <f aca="false">IFERROR(IF(D454="JPY",E454*$I$3,IF(D454="USD",E454*$J$3,E454)),"")</f>
        <v>0</v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7" t="n">
        <f aca="false">IFERROR(IF(D455="JPY",E455*$I$3,IF(D455="USD",E455*$J$3,E455)),"")</f>
        <v>0</v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7" t="n">
        <f aca="false">IFERROR(IF(D456="JPY",E456*$I$3,IF(D456="USD",E456*$J$3,E456)),"")</f>
        <v>0</v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7" t="n">
        <f aca="false">IFERROR(IF(D457="JPY",E457*$I$3,IF(D457="USD",E457*$J$3,E457)),"")</f>
        <v>0</v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7" t="n">
        <f aca="false">IFERROR(IF(D458="JPY",E458*$I$3,IF(D458="USD",E458*$J$3,E458)),"")</f>
        <v>0</v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7" t="n">
        <f aca="false">IFERROR(IF(D459="JPY",E459*$I$3,IF(D459="USD",E459*$J$3,E459)),"")</f>
        <v>0</v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7" t="n">
        <f aca="false">IFERROR(IF(D460="JPY",E460*$I$3,IF(D460="USD",E460*$J$3,E460)),"")</f>
        <v>0</v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7" t="n">
        <f aca="false">IFERROR(IF(D461="JPY",E461*$I$3,IF(D461="USD",E461*$J$3,E461)),"")</f>
        <v>0</v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7" t="n">
        <f aca="false">IFERROR(IF(D462="JPY",E462*$I$3,IF(D462="USD",E462*$J$3,E462)),"")</f>
        <v>0</v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7" t="n">
        <f aca="false">IFERROR(IF(D463="JPY",E463*$I$3,IF(D463="USD",E463*$J$3,E463)),"")</f>
        <v>0</v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7" t="n">
        <f aca="false">IFERROR(IF(D464="JPY",E464*$I$3,IF(D464="USD",E464*$J$3,E464)),"")</f>
        <v>0</v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7" t="n">
        <f aca="false">IFERROR(IF(D465="JPY",E465*$I$3,IF(D465="USD",E465*$J$3,E465)),"")</f>
        <v>0</v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7" t="n">
        <f aca="false">IFERROR(IF(D466="JPY",E466*$I$3,IF(D466="USD",E466*$J$3,E466)),"")</f>
        <v>0</v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7" t="n">
        <f aca="false">IFERROR(IF(D467="JPY",E467*$I$3,IF(D467="USD",E467*$J$3,E467)),"")</f>
        <v>0</v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7" t="n">
        <f aca="false">IFERROR(IF(D468="JPY",E468*$I$3,IF(D468="USD",E468*$J$3,E468)),"")</f>
        <v>0</v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7" t="n">
        <f aca="false">IFERROR(IF(D469="JPY",E469*$I$3,IF(D469="USD",E469*$J$3,E469)),"")</f>
        <v>0</v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7" t="n">
        <f aca="false">IFERROR(IF(D470="JPY",E470*$I$3,IF(D470="USD",E470*$J$3,E470)),"")</f>
        <v>0</v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7" t="n">
        <f aca="false">IFERROR(IF(D471="JPY",E471*$I$3,IF(D471="USD",E471*$J$3,E471)),"")</f>
        <v>0</v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7" t="n">
        <f aca="false">IFERROR(IF(D472="JPY",E472*$I$3,IF(D472="USD",E472*$J$3,E472)),"")</f>
        <v>0</v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7" t="n">
        <f aca="false">IFERROR(IF(D473="JPY",E473*$I$3,IF(D473="USD",E473*$J$3,E473)),"")</f>
        <v>0</v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7" t="n">
        <f aca="false">IFERROR(IF(D474="JPY",E474*$I$3,IF(D474="USD",E474*$J$3,E474)),"")</f>
        <v>0</v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7" t="n">
        <f aca="false">IFERROR(IF(D475="JPY",E475*$I$3,IF(D475="USD",E475*$J$3,E475)),"")</f>
        <v>0</v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7" t="n">
        <f aca="false">IFERROR(IF(D476="JPY",E476*$I$3,IF(D476="USD",E476*$J$3,E476)),"")</f>
        <v>0</v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7" t="n">
        <f aca="false">IFERROR(IF(D477="JPY",E477*$I$3,IF(D477="USD",E477*$J$3,E477)),"")</f>
        <v>0</v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7" t="n">
        <f aca="false">IFERROR(IF(D478="JPY",E478*$I$3,IF(D478="USD",E478*$J$3,E478)),"")</f>
        <v>0</v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7" t="n">
        <f aca="false">IFERROR(IF(D479="JPY",E479*$I$3,IF(D479="USD",E479*$J$3,E479)),"")</f>
        <v>0</v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7" t="n">
        <f aca="false">IFERROR(IF(D480="JPY",E480*$I$3,IF(D480="USD",E480*$J$3,E480)),"")</f>
        <v>0</v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7" t="n">
        <f aca="false">IFERROR(IF(D481="JPY",E481*$I$3,IF(D481="USD",E481*$J$3,E481)),"")</f>
        <v>0</v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7" t="n">
        <f aca="false">IFERROR(IF(D482="JPY",E482*$I$3,IF(D482="USD",E482*$J$3,E482)),"")</f>
        <v>0</v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7" t="n">
        <f aca="false">IFERROR(IF(D483="JPY",E483*$I$3,IF(D483="USD",E483*$J$3,E483)),"")</f>
        <v>0</v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7" t="n">
        <f aca="false">IFERROR(IF(D484="JPY",E484*$I$3,IF(D484="USD",E484*$J$3,E484)),"")</f>
        <v>0</v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7" t="n">
        <f aca="false">IFERROR(IF(D485="JPY",E485*$I$3,IF(D485="USD",E485*$J$3,E485)),"")</f>
        <v>0</v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7" t="n">
        <f aca="false">IFERROR(IF(D486="JPY",E486*$I$3,IF(D486="USD",E486*$J$3,E486)),"")</f>
        <v>0</v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7" t="n">
        <f aca="false">IFERROR(IF(D487="JPY",E487*$I$3,IF(D487="USD",E487*$J$3,E487)),"")</f>
        <v>0</v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7" t="n">
        <f aca="false">IFERROR(IF(D488="JPY",E488*$I$3,IF(D488="USD",E488*$J$3,E488)),"")</f>
        <v>0</v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7" t="n">
        <f aca="false">IFERROR(IF(D489="JPY",E489*$I$3,IF(D489="USD",E489*$J$3,E489)),"")</f>
        <v>0</v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7" t="n">
        <f aca="false">IFERROR(IF(D490="JPY",E490*$I$3,IF(D490="USD",E490*$J$3,E490)),"")</f>
        <v>0</v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7" t="n">
        <f aca="false">IFERROR(IF(D491="JPY",E491*$I$3,IF(D491="USD",E491*$J$3,E491)),"")</f>
        <v>0</v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7" t="n">
        <f aca="false">IFERROR(IF(D492="JPY",E492*$I$3,IF(D492="USD",E492*$J$3,E492)),"")</f>
        <v>0</v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7" t="n">
        <f aca="false">IFERROR(IF(D493="JPY",E493*$I$3,IF(D493="USD",E493*$J$3,E493)),"")</f>
        <v>0</v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7" t="n">
        <f aca="false">IFERROR(IF(D494="JPY",E494*$I$3,IF(D494="USD",E494*$J$3,E494)),"")</f>
        <v>0</v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7" t="n">
        <f aca="false">IFERROR(IF(D495="JPY",E495*$I$3,IF(D495="USD",E495*$J$3,E495)),"")</f>
        <v>0</v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7" t="n">
        <f aca="false">IFERROR(IF(D496="JPY",E496*$I$3,IF(D496="USD",E496*$J$3,E496)),"")</f>
        <v>0</v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7" t="n">
        <f aca="false">IFERROR(IF(D497="JPY",E497*$I$3,IF(D497="USD",E497*$J$3,E497)),"")</f>
        <v>0</v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7" t="n">
        <f aca="false">IFERROR(IF(D498="JPY",E498*$I$3,IF(D498="USD",E498*$J$3,E498)),"")</f>
        <v>0</v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7" t="n">
        <f aca="false">IFERROR(IF(D499="JPY",E499*$I$3,IF(D499="USD",E499*$J$3,E499)),"")</f>
        <v>0</v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7" t="n">
        <f aca="false">IFERROR(IF(D500="JPY",E500*$I$3,IF(D500="USD",E500*$J$3,E500)),"")</f>
        <v>0</v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7" t="n">
        <f aca="false">IFERROR(IF(D501="JPY",E501*$I$3,IF(D501="USD",E501*$J$3,E501)),"")</f>
        <v>0</v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7" t="n">
        <f aca="false">IFERROR(IF(D502="JPY",E502*$I$3,IF(D502="USD",E502*$J$3,E502)),"")</f>
        <v>0</v>
      </c>
    </row>
    <row r="503" customFormat="false" ht="15" hidden="false" customHeight="false" outlineLevel="0" collapsed="false">
      <c r="A503" s="27"/>
      <c r="B503" s="27"/>
      <c r="C503" s="27"/>
      <c r="D503" s="27"/>
      <c r="E503" s="27"/>
      <c r="F503" s="27"/>
      <c r="G503" s="27"/>
      <c r="H503" s="7" t="n">
        <f aca="false">IFERROR(IF(D503="JPY",E503*$I$3,IF(D503="USD",E503*$J$3,E503)),"")</f>
        <v>0</v>
      </c>
    </row>
    <row r="504" customFormat="false" ht="15" hidden="false" customHeight="false" outlineLevel="0" collapsed="false">
      <c r="A504" s="27"/>
      <c r="B504" s="27"/>
      <c r="C504" s="27"/>
      <c r="D504" s="27"/>
      <c r="E504" s="27"/>
      <c r="F504" s="27"/>
      <c r="G504" s="27"/>
      <c r="H504" s="7" t="n">
        <f aca="false">IFERROR(IF(D504="JPY",E504*$I$3,IF(D504="USD",E504*$J$3,E504)),"")</f>
        <v>0</v>
      </c>
    </row>
    <row r="505" customFormat="false" ht="15" hidden="false" customHeight="false" outlineLevel="0" collapsed="false">
      <c r="A505" s="27"/>
      <c r="B505" s="27"/>
      <c r="C505" s="27"/>
      <c r="D505" s="27"/>
      <c r="E505" s="27"/>
      <c r="F505" s="27"/>
      <c r="G505" s="27"/>
      <c r="H505" s="7" t="n">
        <f aca="false">IFERROR(IF(D505="JPY",E505*$I$3,IF(D505="USD",E505*$J$3,E505)),"")</f>
        <v>0</v>
      </c>
    </row>
    <row r="506" customFormat="false" ht="15" hidden="false" customHeight="false" outlineLevel="0" collapsed="false">
      <c r="A506" s="27"/>
      <c r="B506" s="27"/>
      <c r="C506" s="27"/>
      <c r="D506" s="27"/>
      <c r="E506" s="27"/>
      <c r="F506" s="27"/>
      <c r="G506" s="27"/>
      <c r="H506" s="7" t="n">
        <f aca="false">IFERROR(IF(D506="JPY",E506*$I$3,IF(D506="USD",E506*$J$3,E506)),"")</f>
        <v>0</v>
      </c>
    </row>
    <row r="507" customFormat="false" ht="15" hidden="false" customHeight="false" outlineLevel="0" collapsed="false">
      <c r="A507" s="27"/>
      <c r="B507" s="27"/>
      <c r="C507" s="27"/>
      <c r="D507" s="27"/>
      <c r="E507" s="27"/>
      <c r="F507" s="27"/>
      <c r="G507" s="27"/>
      <c r="H507" s="7" t="n">
        <f aca="false">IFERROR(IF(D507="JPY",E507*$I$3,IF(D507="USD",E507*$J$3,E507)),"")</f>
        <v>0</v>
      </c>
    </row>
    <row r="508" customFormat="false" ht="15" hidden="false" customHeight="false" outlineLevel="0" collapsed="false">
      <c r="A508" s="27"/>
      <c r="B508" s="27"/>
      <c r="C508" s="27"/>
      <c r="D508" s="27"/>
      <c r="E508" s="27"/>
      <c r="F508" s="27"/>
      <c r="G508" s="27"/>
      <c r="H508" s="7" t="n">
        <f aca="false">IFERROR(IF(D508="JPY",E508*$I$3,IF(D508="USD",E508*$J$3,E508)),"")</f>
        <v>0</v>
      </c>
    </row>
    <row r="509" customFormat="false" ht="15" hidden="false" customHeight="false" outlineLevel="0" collapsed="false">
      <c r="A509" s="27"/>
      <c r="B509" s="27"/>
      <c r="C509" s="27"/>
      <c r="D509" s="27"/>
      <c r="E509" s="27"/>
      <c r="F509" s="27"/>
      <c r="G509" s="27"/>
      <c r="H509" s="7" t="n">
        <f aca="false">IFERROR(IF(D509="JPY",E509*$I$3,IF(D509="USD",E509*$J$3,E509)),"")</f>
        <v>0</v>
      </c>
    </row>
    <row r="510" customFormat="false" ht="15" hidden="false" customHeight="false" outlineLevel="0" collapsed="false">
      <c r="A510" s="27"/>
      <c r="B510" s="27"/>
      <c r="C510" s="27"/>
      <c r="D510" s="27"/>
      <c r="E510" s="27"/>
      <c r="F510" s="27"/>
      <c r="G510" s="27"/>
      <c r="H510" s="7" t="n">
        <f aca="false">IFERROR(IF(D510="JPY",E510*$I$3,IF(D510="USD",E510*$J$3,E510)),"")</f>
        <v>0</v>
      </c>
    </row>
    <row r="511" customFormat="false" ht="15" hidden="false" customHeight="false" outlineLevel="0" collapsed="false">
      <c r="A511" s="27"/>
      <c r="B511" s="27"/>
      <c r="C511" s="27"/>
      <c r="D511" s="27"/>
      <c r="E511" s="27"/>
      <c r="F511" s="27"/>
      <c r="G511" s="27"/>
      <c r="H511" s="7" t="n">
        <f aca="false">IFERROR(IF(D511="JPY",E511*$I$3,IF(D511="USD",E511*$J$3,E511)),"")</f>
        <v>0</v>
      </c>
    </row>
    <row r="512" customFormat="false" ht="15" hidden="false" customHeight="false" outlineLevel="0" collapsed="false">
      <c r="A512" s="27"/>
      <c r="B512" s="27"/>
      <c r="C512" s="27"/>
      <c r="D512" s="27"/>
      <c r="E512" s="27"/>
      <c r="F512" s="27"/>
      <c r="G512" s="27"/>
      <c r="H512" s="7" t="n">
        <f aca="false">IFERROR(IF(D512="JPY",E512*$I$3,IF(D512="USD",E512*$J$3,E512)),"")</f>
        <v>0</v>
      </c>
    </row>
    <row r="513" customFormat="false" ht="15" hidden="false" customHeight="false" outlineLevel="0" collapsed="false">
      <c r="A513" s="27"/>
      <c r="B513" s="27"/>
      <c r="C513" s="27"/>
      <c r="D513" s="27"/>
      <c r="E513" s="27"/>
      <c r="F513" s="27"/>
      <c r="G513" s="27"/>
      <c r="H513" s="7" t="n">
        <f aca="false">IFERROR(IF(D513="JPY",E513*$I$3,IF(D513="USD",E513*$J$3,E513)),"")</f>
        <v>0</v>
      </c>
    </row>
    <row r="514" customFormat="false" ht="15" hidden="false" customHeight="false" outlineLevel="0" collapsed="false">
      <c r="A514" s="27"/>
      <c r="B514" s="27"/>
      <c r="C514" s="27"/>
      <c r="D514" s="27"/>
      <c r="E514" s="27"/>
      <c r="F514" s="27"/>
      <c r="G514" s="27"/>
      <c r="H514" s="7" t="n">
        <f aca="false">IFERROR(IF(D514="JPY",E514*$I$3,IF(D514="USD",E514*$J$3,E514)),"")</f>
        <v>0</v>
      </c>
    </row>
    <row r="515" customFormat="false" ht="15" hidden="false" customHeight="false" outlineLevel="0" collapsed="false">
      <c r="A515" s="27"/>
      <c r="B515" s="27"/>
      <c r="C515" s="27"/>
      <c r="D515" s="27"/>
      <c r="E515" s="27"/>
      <c r="F515" s="27"/>
      <c r="G515" s="27"/>
      <c r="H515" s="7" t="n">
        <f aca="false">IFERROR(IF(D515="JPY",E515*$I$3,IF(D515="USD",E515*$J$3,E515)),"")</f>
        <v>0</v>
      </c>
    </row>
    <row r="516" customFormat="false" ht="15" hidden="false" customHeight="false" outlineLevel="0" collapsed="false">
      <c r="A516" s="27"/>
      <c r="B516" s="27"/>
      <c r="C516" s="27"/>
      <c r="D516" s="27"/>
      <c r="E516" s="27"/>
      <c r="F516" s="27"/>
      <c r="G516" s="27"/>
      <c r="H516" s="7" t="n">
        <f aca="false">IFERROR(IF(D516="JPY",E516*$I$3,IF(D516="USD",E516*$J$3,E516)),"")</f>
        <v>0</v>
      </c>
    </row>
    <row r="517" customFormat="false" ht="15" hidden="false" customHeight="false" outlineLevel="0" collapsed="false">
      <c r="A517" s="27"/>
      <c r="B517" s="27"/>
      <c r="C517" s="27"/>
      <c r="D517" s="27"/>
      <c r="E517" s="27"/>
      <c r="F517" s="27"/>
      <c r="G517" s="27"/>
      <c r="H517" s="7" t="n">
        <f aca="false">IFERROR(IF(D517="JPY",E517*$I$3,IF(D517="USD",E517*$J$3,E517)),"")</f>
        <v>0</v>
      </c>
    </row>
    <row r="518" customFormat="false" ht="15" hidden="false" customHeight="false" outlineLevel="0" collapsed="false">
      <c r="A518" s="27"/>
      <c r="B518" s="27"/>
      <c r="C518" s="27"/>
      <c r="D518" s="27"/>
      <c r="E518" s="27"/>
      <c r="F518" s="27"/>
      <c r="G518" s="27"/>
      <c r="H518" s="7" t="n">
        <f aca="false">IFERROR(IF(D518="JPY",E518*$I$3,IF(D518="USD",E518*$J$3,E518)),"")</f>
        <v>0</v>
      </c>
    </row>
    <row r="519" customFormat="false" ht="15" hidden="false" customHeight="false" outlineLevel="0" collapsed="false">
      <c r="A519" s="27"/>
      <c r="B519" s="27"/>
      <c r="C519" s="27"/>
      <c r="D519" s="27"/>
      <c r="E519" s="27"/>
      <c r="F519" s="27"/>
      <c r="G519" s="27"/>
      <c r="H519" s="7" t="n">
        <f aca="false">IFERROR(IF(D519="JPY",E519*$I$3,IF(D519="USD",E519*$J$3,E519)),"")</f>
        <v>0</v>
      </c>
    </row>
    <row r="520" customFormat="false" ht="15" hidden="false" customHeight="false" outlineLevel="0" collapsed="false">
      <c r="A520" s="27"/>
      <c r="B520" s="27"/>
      <c r="C520" s="27"/>
      <c r="D520" s="27"/>
      <c r="E520" s="27"/>
      <c r="F520" s="27"/>
      <c r="G520" s="27"/>
      <c r="H520" s="7" t="n">
        <f aca="false">IFERROR(IF(D520="JPY",E520*$I$3,IF(D520="USD",E520*$J$3,E520)),"")</f>
        <v>0</v>
      </c>
    </row>
    <row r="521" customFormat="false" ht="15" hidden="false" customHeight="false" outlineLevel="0" collapsed="false">
      <c r="A521" s="27"/>
      <c r="B521" s="27"/>
      <c r="C521" s="27"/>
      <c r="D521" s="27"/>
      <c r="E521" s="27"/>
      <c r="F521" s="27"/>
      <c r="G521" s="27"/>
      <c r="H521" s="7" t="n">
        <f aca="false">IFERROR(IF(D521="JPY",E521*$I$3,IF(D521="USD",E521*$J$3,E521)),"")</f>
        <v>0</v>
      </c>
    </row>
    <row r="522" customFormat="false" ht="15" hidden="false" customHeight="false" outlineLevel="0" collapsed="false">
      <c r="A522" s="27"/>
      <c r="B522" s="27"/>
      <c r="C522" s="27"/>
      <c r="D522" s="27"/>
      <c r="E522" s="27"/>
      <c r="F522" s="27"/>
      <c r="G522" s="27"/>
      <c r="H522" s="7" t="n">
        <f aca="false">IFERROR(IF(D522="JPY",E522*$I$3,IF(D522="USD",E522*$J$3,E522)),"")</f>
        <v>0</v>
      </c>
    </row>
    <row r="523" customFormat="false" ht="15" hidden="false" customHeight="false" outlineLevel="0" collapsed="false">
      <c r="A523" s="27"/>
      <c r="B523" s="27"/>
      <c r="C523" s="27"/>
      <c r="D523" s="27"/>
      <c r="E523" s="27"/>
      <c r="F523" s="27"/>
      <c r="G523" s="27"/>
      <c r="H523" s="7" t="n">
        <f aca="false">IFERROR(IF(D523="JPY",E523*$I$3,IF(D523="USD",E523*$J$3,E523)),"")</f>
        <v>0</v>
      </c>
    </row>
    <row r="524" customFormat="false" ht="15" hidden="false" customHeight="false" outlineLevel="0" collapsed="false">
      <c r="A524" s="27"/>
      <c r="B524" s="27"/>
      <c r="C524" s="27"/>
      <c r="D524" s="27"/>
      <c r="E524" s="27"/>
      <c r="F524" s="27"/>
      <c r="G524" s="27"/>
      <c r="H524" s="7" t="n">
        <f aca="false">IFERROR(IF(D524="JPY",E524*$I$3,IF(D524="USD",E524*$J$3,E524)),"")</f>
        <v>0</v>
      </c>
    </row>
    <row r="525" customFormat="false" ht="15" hidden="false" customHeight="false" outlineLevel="0" collapsed="false">
      <c r="A525" s="27"/>
      <c r="B525" s="27"/>
      <c r="C525" s="27"/>
      <c r="D525" s="27"/>
      <c r="E525" s="27"/>
      <c r="F525" s="27"/>
      <c r="G525" s="27"/>
      <c r="H525" s="7" t="n">
        <f aca="false">IFERROR(IF(D525="JPY",E525*$I$3,IF(D525="USD",E525*$J$3,E525)),"")</f>
        <v>0</v>
      </c>
    </row>
    <row r="526" customFormat="false" ht="15" hidden="false" customHeight="false" outlineLevel="0" collapsed="false">
      <c r="A526" s="27"/>
      <c r="B526" s="27"/>
      <c r="C526" s="27"/>
      <c r="D526" s="27"/>
      <c r="E526" s="27"/>
      <c r="F526" s="27"/>
      <c r="G526" s="27"/>
      <c r="H526" s="7" t="n">
        <f aca="false">IFERROR(IF(D526="JPY",E526*$I$3,IF(D526="USD",E526*$J$3,E526)),"")</f>
        <v>0</v>
      </c>
    </row>
    <row r="527" customFormat="false" ht="15" hidden="false" customHeight="false" outlineLevel="0" collapsed="false">
      <c r="A527" s="27"/>
      <c r="B527" s="27"/>
      <c r="C527" s="27"/>
      <c r="D527" s="27"/>
      <c r="E527" s="27"/>
      <c r="F527" s="27"/>
      <c r="G527" s="27"/>
      <c r="H527" s="7" t="n">
        <f aca="false">IFERROR(IF(D527="JPY",E527*$I$3,IF(D527="USD",E527*$J$3,E527)),"")</f>
        <v>0</v>
      </c>
    </row>
    <row r="528" customFormat="false" ht="15" hidden="false" customHeight="false" outlineLevel="0" collapsed="false">
      <c r="A528" s="27"/>
      <c r="B528" s="27"/>
      <c r="C528" s="27"/>
      <c r="D528" s="27"/>
      <c r="E528" s="27"/>
      <c r="F528" s="27"/>
      <c r="G528" s="27"/>
      <c r="H528" s="7" t="n">
        <f aca="false">IFERROR(IF(D528="JPY",E528*$I$3,IF(D528="USD",E528*$J$3,E528)),"")</f>
        <v>0</v>
      </c>
    </row>
    <row r="529" customFormat="false" ht="15" hidden="false" customHeight="false" outlineLevel="0" collapsed="false">
      <c r="A529" s="27"/>
      <c r="B529" s="27"/>
      <c r="C529" s="27"/>
      <c r="D529" s="27"/>
      <c r="E529" s="27"/>
      <c r="F529" s="27"/>
      <c r="G529" s="27"/>
      <c r="H529" s="7" t="n">
        <f aca="false">IFERROR(IF(D529="JPY",E529*$I$3,IF(D529="USD",E529*$J$3,E529)),"")</f>
        <v>0</v>
      </c>
    </row>
    <row r="530" customFormat="false" ht="15" hidden="false" customHeight="false" outlineLevel="0" collapsed="false">
      <c r="A530" s="27"/>
      <c r="B530" s="27"/>
      <c r="C530" s="27"/>
      <c r="D530" s="27"/>
      <c r="E530" s="27"/>
      <c r="F530" s="27"/>
      <c r="G530" s="27"/>
      <c r="H530" s="7" t="n">
        <f aca="false">IFERROR(IF(D530="JPY",E530*$I$3,IF(D530="USD",E530*$J$3,E530)),"")</f>
        <v>0</v>
      </c>
    </row>
    <row r="531" customFormat="false" ht="15" hidden="false" customHeight="false" outlineLevel="0" collapsed="false">
      <c r="A531" s="27"/>
      <c r="B531" s="27"/>
      <c r="C531" s="27"/>
      <c r="D531" s="27"/>
      <c r="E531" s="27"/>
      <c r="F531" s="27"/>
      <c r="G531" s="27"/>
      <c r="H531" s="7" t="n">
        <f aca="false">IFERROR(IF(D531="JPY",E531*$I$3,IF(D531="USD",E531*$J$3,E531)),"")</f>
        <v>0</v>
      </c>
    </row>
    <row r="532" customFormat="false" ht="15" hidden="false" customHeight="false" outlineLevel="0" collapsed="false">
      <c r="A532" s="27"/>
      <c r="B532" s="27"/>
      <c r="C532" s="27"/>
      <c r="D532" s="27"/>
      <c r="E532" s="27"/>
      <c r="F532" s="27"/>
      <c r="G532" s="27"/>
      <c r="H532" s="7" t="n">
        <f aca="false">IFERROR(IF(D532="JPY",E532*$I$3,IF(D532="USD",E532*$J$3,E532)),"")</f>
        <v>0</v>
      </c>
    </row>
    <row r="533" customFormat="false" ht="15" hidden="false" customHeight="false" outlineLevel="0" collapsed="false">
      <c r="A533" s="27"/>
      <c r="B533" s="27"/>
      <c r="C533" s="27"/>
      <c r="D533" s="27"/>
      <c r="E533" s="27"/>
      <c r="F533" s="27"/>
      <c r="G533" s="27"/>
      <c r="H533" s="7" t="n">
        <f aca="false">IFERROR(IF(D533="JPY",E533*$I$3,IF(D533="USD",E533*$J$3,E533)),"")</f>
        <v>0</v>
      </c>
    </row>
    <row r="534" customFormat="false" ht="15" hidden="false" customHeight="false" outlineLevel="0" collapsed="false">
      <c r="A534" s="27"/>
      <c r="B534" s="27"/>
      <c r="C534" s="27"/>
      <c r="D534" s="27"/>
      <c r="E534" s="27"/>
      <c r="F534" s="27"/>
      <c r="G534" s="27"/>
      <c r="H534" s="7" t="n">
        <f aca="false">IFERROR(IF(D534="JPY",E534*$I$3,IF(D534="USD",E534*$J$3,E534)),"")</f>
        <v>0</v>
      </c>
    </row>
    <row r="535" customFormat="false" ht="15" hidden="false" customHeight="false" outlineLevel="0" collapsed="false">
      <c r="A535" s="27"/>
      <c r="B535" s="27"/>
      <c r="C535" s="27"/>
      <c r="D535" s="27"/>
      <c r="E535" s="27"/>
      <c r="F535" s="27"/>
      <c r="G535" s="27"/>
      <c r="H535" s="7" t="n">
        <f aca="false">IFERROR(IF(D535="JPY",E535*$I$3,IF(D535="USD",E535*$J$3,E535)),"")</f>
        <v>0</v>
      </c>
    </row>
    <row r="536" customFormat="false" ht="15" hidden="false" customHeight="false" outlineLevel="0" collapsed="false">
      <c r="A536" s="27"/>
      <c r="B536" s="27"/>
      <c r="C536" s="27"/>
      <c r="D536" s="27"/>
      <c r="E536" s="27"/>
      <c r="F536" s="27"/>
      <c r="G536" s="27"/>
      <c r="H536" s="7" t="n">
        <f aca="false">IFERROR(IF(D536="JPY",E536*$I$3,IF(D536="USD",E536*$J$3,E536)),"")</f>
        <v>0</v>
      </c>
    </row>
    <row r="537" customFormat="false" ht="15" hidden="false" customHeight="false" outlineLevel="0" collapsed="false">
      <c r="A537" s="27"/>
      <c r="B537" s="27"/>
      <c r="C537" s="27"/>
      <c r="D537" s="27"/>
      <c r="E537" s="27"/>
      <c r="F537" s="27"/>
      <c r="G537" s="27"/>
      <c r="H537" s="7" t="n">
        <f aca="false">IFERROR(IF(D537="JPY",E537*$I$3,IF(D537="USD",E537*$J$3,E537)),"")</f>
        <v>0</v>
      </c>
    </row>
    <row r="538" customFormat="false" ht="15" hidden="false" customHeight="false" outlineLevel="0" collapsed="false">
      <c r="A538" s="27"/>
      <c r="B538" s="27"/>
      <c r="C538" s="27"/>
      <c r="D538" s="27"/>
      <c r="E538" s="27"/>
      <c r="F538" s="27"/>
      <c r="G538" s="27"/>
      <c r="H538" s="7" t="n">
        <f aca="false">IFERROR(IF(D538="JPY",E538*$I$3,IF(D538="USD",E538*$J$3,E538)),"")</f>
        <v>0</v>
      </c>
    </row>
    <row r="539" customFormat="false" ht="15" hidden="false" customHeight="false" outlineLevel="0" collapsed="false">
      <c r="A539" s="27"/>
      <c r="B539" s="27"/>
      <c r="C539" s="27"/>
      <c r="D539" s="27"/>
      <c r="E539" s="27"/>
      <c r="F539" s="27"/>
      <c r="G539" s="27"/>
      <c r="H539" s="7" t="n">
        <f aca="false">IFERROR(IF(D539="JPY",E539*$I$3,IF(D539="USD",E539*$J$3,E539)),"")</f>
        <v>0</v>
      </c>
    </row>
    <row r="540" customFormat="false" ht="15" hidden="false" customHeight="false" outlineLevel="0" collapsed="false">
      <c r="A540" s="27"/>
      <c r="B540" s="27"/>
      <c r="C540" s="27"/>
      <c r="D540" s="27"/>
      <c r="E540" s="27"/>
      <c r="F540" s="27"/>
      <c r="G540" s="27"/>
      <c r="H540" s="7" t="n">
        <f aca="false">IFERROR(IF(D540="JPY",E540*$I$3,IF(D540="USD",E540*$J$3,E540)),"")</f>
        <v>0</v>
      </c>
    </row>
    <row r="541" customFormat="false" ht="15" hidden="false" customHeight="false" outlineLevel="0" collapsed="false">
      <c r="A541" s="27"/>
      <c r="B541" s="27"/>
      <c r="C541" s="27"/>
      <c r="D541" s="27"/>
      <c r="E541" s="27"/>
      <c r="F541" s="27"/>
      <c r="G541" s="27"/>
      <c r="H541" s="7" t="n">
        <f aca="false">IFERROR(IF(D541="JPY",E541*$I$3,IF(D541="USD",E541*$J$3,E541)),"")</f>
        <v>0</v>
      </c>
    </row>
    <row r="542" customFormat="false" ht="15" hidden="false" customHeight="false" outlineLevel="0" collapsed="false">
      <c r="A542" s="27"/>
      <c r="B542" s="27"/>
      <c r="C542" s="27"/>
      <c r="D542" s="27"/>
      <c r="E542" s="27"/>
      <c r="F542" s="27"/>
      <c r="G542" s="27"/>
      <c r="H542" s="7" t="n">
        <f aca="false">IFERROR(IF(D542="JPY",E542*$I$3,IF(D542="USD",E542*$J$3,E542)),"")</f>
        <v>0</v>
      </c>
    </row>
    <row r="543" customFormat="false" ht="15" hidden="false" customHeight="false" outlineLevel="0" collapsed="false">
      <c r="A543" s="27"/>
      <c r="B543" s="27"/>
      <c r="C543" s="27"/>
      <c r="D543" s="27"/>
      <c r="E543" s="27"/>
      <c r="F543" s="27"/>
      <c r="G543" s="27"/>
      <c r="H543" s="7" t="n">
        <f aca="false">IFERROR(IF(D543="JPY",E543*$I$3,IF(D543="USD",E543*$J$3,E543)),"")</f>
        <v>0</v>
      </c>
    </row>
    <row r="544" customFormat="false" ht="15" hidden="false" customHeight="false" outlineLevel="0" collapsed="false">
      <c r="A544" s="27"/>
      <c r="B544" s="27"/>
      <c r="C544" s="27"/>
      <c r="D544" s="27"/>
      <c r="E544" s="27"/>
      <c r="F544" s="27"/>
      <c r="G544" s="27"/>
      <c r="H544" s="7" t="n">
        <f aca="false">IFERROR(IF(D544="JPY",E544*$I$3,IF(D544="USD",E544*$J$3,E544)),"")</f>
        <v>0</v>
      </c>
    </row>
    <row r="545" customFormat="false" ht="15" hidden="false" customHeight="false" outlineLevel="0" collapsed="false">
      <c r="A545" s="27"/>
      <c r="B545" s="27"/>
      <c r="C545" s="27"/>
      <c r="D545" s="27"/>
      <c r="E545" s="27"/>
      <c r="F545" s="27"/>
      <c r="G545" s="27"/>
      <c r="H545" s="7" t="n">
        <f aca="false">IFERROR(IF(D545="JPY",E545*$I$3,IF(D545="USD",E545*$J$3,E545)),"")</f>
        <v>0</v>
      </c>
    </row>
    <row r="546" customFormat="false" ht="15" hidden="false" customHeight="false" outlineLevel="0" collapsed="false">
      <c r="A546" s="27"/>
      <c r="B546" s="27"/>
      <c r="C546" s="27"/>
      <c r="D546" s="27"/>
      <c r="E546" s="27"/>
      <c r="F546" s="27"/>
      <c r="G546" s="27"/>
      <c r="H546" s="7" t="n">
        <f aca="false">IFERROR(IF(D546="JPY",E546*$I$3,IF(D546="USD",E546*$J$3,E546)),"")</f>
        <v>0</v>
      </c>
    </row>
    <row r="547" customFormat="false" ht="15" hidden="false" customHeight="false" outlineLevel="0" collapsed="false">
      <c r="A547" s="27"/>
      <c r="B547" s="27"/>
      <c r="C547" s="27"/>
      <c r="D547" s="27"/>
      <c r="E547" s="27"/>
      <c r="F547" s="27"/>
      <c r="G547" s="27"/>
      <c r="H547" s="7" t="n">
        <f aca="false">IFERROR(IF(D547="JPY",E547*$I$3,IF(D547="USD",E547*$J$3,E547)),"")</f>
        <v>0</v>
      </c>
    </row>
    <row r="548" customFormat="false" ht="15" hidden="false" customHeight="false" outlineLevel="0" collapsed="false">
      <c r="A548" s="27"/>
      <c r="B548" s="27"/>
      <c r="C548" s="27"/>
      <c r="D548" s="27"/>
      <c r="E548" s="27"/>
      <c r="F548" s="27"/>
      <c r="G548" s="27"/>
      <c r="H548" s="7" t="n">
        <f aca="false">IFERROR(IF(D548="JPY",E548*$I$3,IF(D548="USD",E548*$J$3,E548)),"")</f>
        <v>0</v>
      </c>
    </row>
    <row r="549" customFormat="false" ht="15" hidden="false" customHeight="false" outlineLevel="0" collapsed="false">
      <c r="A549" s="27"/>
      <c r="B549" s="27"/>
      <c r="C549" s="27"/>
      <c r="D549" s="27"/>
      <c r="E549" s="27"/>
      <c r="F549" s="27"/>
      <c r="G549" s="27"/>
      <c r="H549" s="7" t="n">
        <f aca="false">IFERROR(IF(D549="JPY",E549*$I$3,IF(D549="USD",E549*$J$3,E549)),"")</f>
        <v>0</v>
      </c>
    </row>
    <row r="550" customFormat="false" ht="15" hidden="false" customHeight="false" outlineLevel="0" collapsed="false">
      <c r="A550" s="27"/>
      <c r="B550" s="27"/>
      <c r="C550" s="27"/>
      <c r="D550" s="27"/>
      <c r="E550" s="27"/>
      <c r="F550" s="27"/>
      <c r="G550" s="27"/>
      <c r="H550" s="7" t="n">
        <f aca="false">IFERROR(IF(D550="JPY",E550*$I$3,IF(D550="USD",E550*$J$3,E550)),"")</f>
        <v>0</v>
      </c>
    </row>
    <row r="551" customFormat="false" ht="15" hidden="false" customHeight="false" outlineLevel="0" collapsed="false">
      <c r="A551" s="27"/>
      <c r="B551" s="27"/>
      <c r="C551" s="27"/>
      <c r="D551" s="27"/>
      <c r="E551" s="27"/>
      <c r="F551" s="27"/>
      <c r="G551" s="27"/>
      <c r="H551" s="7" t="n">
        <f aca="false">IFERROR(IF(D551="JPY",E551*$I$3,IF(D551="USD",E551*$J$3,E551)),"")</f>
        <v>0</v>
      </c>
    </row>
    <row r="552" customFormat="false" ht="15" hidden="false" customHeight="false" outlineLevel="0" collapsed="false">
      <c r="A552" s="27"/>
      <c r="B552" s="27"/>
      <c r="C552" s="27"/>
      <c r="D552" s="27"/>
      <c r="E552" s="27"/>
      <c r="F552" s="27"/>
      <c r="G552" s="27"/>
      <c r="H552" s="7" t="n">
        <f aca="false">IFERROR(IF(D552="JPY",E552*$I$3,IF(D552="USD",E552*$J$3,E552)),"")</f>
        <v>0</v>
      </c>
    </row>
    <row r="553" customFormat="false" ht="15" hidden="false" customHeight="false" outlineLevel="0" collapsed="false">
      <c r="A553" s="27"/>
      <c r="B553" s="27"/>
      <c r="C553" s="27"/>
      <c r="D553" s="27"/>
      <c r="E553" s="27"/>
      <c r="F553" s="27"/>
      <c r="G553" s="27"/>
      <c r="H553" s="7" t="n">
        <f aca="false">IFERROR(IF(D553="JPY",E553*$I$3,IF(D553="USD",E553*$J$3,E553)),"")</f>
        <v>0</v>
      </c>
    </row>
    <row r="554" customFormat="false" ht="15" hidden="false" customHeight="false" outlineLevel="0" collapsed="false">
      <c r="A554" s="27"/>
      <c r="B554" s="27"/>
      <c r="C554" s="27"/>
      <c r="D554" s="27"/>
      <c r="E554" s="27"/>
      <c r="F554" s="27"/>
      <c r="G554" s="27"/>
      <c r="H554" s="7" t="n">
        <f aca="false">IFERROR(IF(D554="JPY",E554*$I$3,IF(D554="USD",E554*$J$3,E554)),"")</f>
        <v>0</v>
      </c>
    </row>
    <row r="555" customFormat="false" ht="15" hidden="false" customHeight="false" outlineLevel="0" collapsed="false">
      <c r="A555" s="27"/>
      <c r="B555" s="27"/>
      <c r="C555" s="27"/>
      <c r="D555" s="27"/>
      <c r="E555" s="27"/>
      <c r="F555" s="27"/>
      <c r="G555" s="27"/>
      <c r="H555" s="7" t="n">
        <f aca="false">IFERROR(IF(D555="JPY",E555*$I$3,IF(D555="USD",E555*$J$3,E555)),"")</f>
        <v>0</v>
      </c>
    </row>
    <row r="556" customFormat="false" ht="15" hidden="false" customHeight="false" outlineLevel="0" collapsed="false">
      <c r="A556" s="27"/>
      <c r="B556" s="27"/>
      <c r="C556" s="27"/>
      <c r="D556" s="27"/>
      <c r="E556" s="27"/>
      <c r="F556" s="27"/>
      <c r="G556" s="27"/>
      <c r="H556" s="7" t="n">
        <f aca="false">IFERROR(IF(D556="JPY",E556*$I$3,IF(D556="USD",E556*$J$3,E556)),"")</f>
        <v>0</v>
      </c>
    </row>
    <row r="557" customFormat="false" ht="15" hidden="false" customHeight="false" outlineLevel="0" collapsed="false">
      <c r="A557" s="27"/>
      <c r="B557" s="27"/>
      <c r="C557" s="27"/>
      <c r="D557" s="27"/>
      <c r="E557" s="27"/>
      <c r="F557" s="27"/>
      <c r="G557" s="27"/>
      <c r="H557" s="7" t="n">
        <f aca="false">IFERROR(IF(D557="JPY",E557*$I$3,IF(D557="USD",E557*$J$3,E557)),"")</f>
        <v>0</v>
      </c>
    </row>
    <row r="558" customFormat="false" ht="15" hidden="false" customHeight="false" outlineLevel="0" collapsed="false">
      <c r="A558" s="27"/>
      <c r="B558" s="27"/>
      <c r="C558" s="27"/>
      <c r="D558" s="27"/>
      <c r="E558" s="27"/>
      <c r="F558" s="27"/>
      <c r="G558" s="27"/>
      <c r="H558" s="7" t="n">
        <f aca="false">IFERROR(IF(D558="JPY",E558*$I$3,IF(D558="USD",E558*$J$3,E558)),"")</f>
        <v>0</v>
      </c>
    </row>
    <row r="559" customFormat="false" ht="15" hidden="false" customHeight="false" outlineLevel="0" collapsed="false">
      <c r="A559" s="27"/>
      <c r="B559" s="27"/>
      <c r="C559" s="27"/>
      <c r="D559" s="27"/>
      <c r="E559" s="27"/>
      <c r="F559" s="27"/>
      <c r="G559" s="27"/>
      <c r="H559" s="7" t="n">
        <f aca="false">IFERROR(IF(D559="JPY",E559*$I$3,IF(D559="USD",E559*$J$3,E559)),"")</f>
        <v>0</v>
      </c>
    </row>
    <row r="560" customFormat="false" ht="15" hidden="false" customHeight="false" outlineLevel="0" collapsed="false">
      <c r="A560" s="27"/>
      <c r="B560" s="27"/>
      <c r="C560" s="27"/>
      <c r="D560" s="27"/>
      <c r="E560" s="27"/>
      <c r="F560" s="27"/>
      <c r="G560" s="27"/>
      <c r="H560" s="7" t="n">
        <f aca="false">IFERROR(IF(D560="JPY",E560*$I$3,IF(D560="USD",E560*$J$3,E560)),"")</f>
        <v>0</v>
      </c>
    </row>
    <row r="561" customFormat="false" ht="15" hidden="false" customHeight="false" outlineLevel="0" collapsed="false">
      <c r="A561" s="27"/>
      <c r="B561" s="27"/>
      <c r="C561" s="27"/>
      <c r="D561" s="27"/>
      <c r="E561" s="27"/>
      <c r="F561" s="27"/>
      <c r="G561" s="27"/>
      <c r="H561" s="7" t="n">
        <f aca="false">IFERROR(IF(D561="JPY",E561*$I$3,IF(D561="USD",E561*$J$3,E561)),"")</f>
        <v>0</v>
      </c>
    </row>
    <row r="562" customFormat="false" ht="15" hidden="false" customHeight="false" outlineLevel="0" collapsed="false">
      <c r="A562" s="27"/>
      <c r="B562" s="27"/>
      <c r="C562" s="27"/>
      <c r="D562" s="27"/>
      <c r="E562" s="27"/>
      <c r="F562" s="27"/>
      <c r="G562" s="27"/>
      <c r="H562" s="7" t="n">
        <f aca="false">IFERROR(IF(D562="JPY",E562*$I$3,IF(D562="USD",E562*$J$3,E562)),"")</f>
        <v>0</v>
      </c>
    </row>
    <row r="563" customFormat="false" ht="15" hidden="false" customHeight="false" outlineLevel="0" collapsed="false">
      <c r="A563" s="27"/>
      <c r="B563" s="27"/>
      <c r="C563" s="27"/>
      <c r="D563" s="27"/>
      <c r="E563" s="27"/>
      <c r="F563" s="27"/>
      <c r="G563" s="27"/>
      <c r="H563" s="7" t="n">
        <f aca="false">IFERROR(IF(D563="JPY",E563*$I$3,IF(D563="USD",E563*$J$3,E563)),"")</f>
        <v>0</v>
      </c>
    </row>
    <row r="564" customFormat="false" ht="15" hidden="false" customHeight="false" outlineLevel="0" collapsed="false">
      <c r="A564" s="27"/>
      <c r="B564" s="27"/>
      <c r="C564" s="27"/>
      <c r="D564" s="27"/>
      <c r="E564" s="27"/>
      <c r="F564" s="27"/>
      <c r="G564" s="27"/>
      <c r="H564" s="7" t="n">
        <f aca="false">IFERROR(IF(D564="JPY",E564*$I$3,IF(D564="USD",E564*$J$3,E564)),"")</f>
        <v>0</v>
      </c>
    </row>
    <row r="565" customFormat="false" ht="15" hidden="false" customHeight="false" outlineLevel="0" collapsed="false">
      <c r="A565" s="27"/>
      <c r="B565" s="27"/>
      <c r="C565" s="27"/>
      <c r="D565" s="27"/>
      <c r="E565" s="27"/>
      <c r="F565" s="27"/>
      <c r="G565" s="27"/>
      <c r="H565" s="7" t="n">
        <f aca="false">IFERROR(IF(D565="JPY",E565*$I$3,IF(D565="USD",E565*$J$3,E565)),"")</f>
        <v>0</v>
      </c>
    </row>
    <row r="566" customFormat="false" ht="15" hidden="false" customHeight="false" outlineLevel="0" collapsed="false">
      <c r="A566" s="27"/>
      <c r="B566" s="27"/>
      <c r="C566" s="27"/>
      <c r="D566" s="27"/>
      <c r="E566" s="27"/>
      <c r="F566" s="27"/>
      <c r="G566" s="27"/>
      <c r="H566" s="7" t="n">
        <f aca="false">IFERROR(IF(D566="JPY",E566*$I$3,IF(D566="USD",E566*$J$3,E566)),"")</f>
        <v>0</v>
      </c>
    </row>
    <row r="567" customFormat="false" ht="15" hidden="false" customHeight="false" outlineLevel="0" collapsed="false">
      <c r="A567" s="27"/>
      <c r="B567" s="27"/>
      <c r="C567" s="27"/>
      <c r="D567" s="27"/>
      <c r="E567" s="27"/>
      <c r="F567" s="27"/>
      <c r="G567" s="27"/>
      <c r="H567" s="7" t="n">
        <f aca="false">IFERROR(IF(D567="JPY",E567*$I$3,IF(D567="USD",E567*$J$3,E567)),"")</f>
        <v>0</v>
      </c>
    </row>
    <row r="568" customFormat="false" ht="15" hidden="false" customHeight="false" outlineLevel="0" collapsed="false">
      <c r="A568" s="27"/>
      <c r="B568" s="27"/>
      <c r="C568" s="27"/>
      <c r="D568" s="27"/>
      <c r="E568" s="27"/>
      <c r="F568" s="27"/>
      <c r="G568" s="27"/>
      <c r="H568" s="7" t="n">
        <f aca="false">IFERROR(IF(D568="JPY",E568*$I$3,IF(D568="USD",E568*$J$3,E568)),"")</f>
        <v>0</v>
      </c>
    </row>
    <row r="569" customFormat="false" ht="15" hidden="false" customHeight="false" outlineLevel="0" collapsed="false">
      <c r="A569" s="27"/>
      <c r="B569" s="27"/>
      <c r="C569" s="27"/>
      <c r="D569" s="27"/>
      <c r="E569" s="27"/>
      <c r="F569" s="27"/>
      <c r="G569" s="27"/>
      <c r="H569" s="7" t="n">
        <f aca="false">IFERROR(IF(D569="JPY",E569*$I$3,IF(D569="USD",E569*$J$3,E569)),"")</f>
        <v>0</v>
      </c>
    </row>
    <row r="570" customFormat="false" ht="15" hidden="false" customHeight="false" outlineLevel="0" collapsed="false">
      <c r="A570" s="27"/>
      <c r="B570" s="27"/>
      <c r="C570" s="27"/>
      <c r="D570" s="27"/>
      <c r="E570" s="27"/>
      <c r="F570" s="27"/>
      <c r="G570" s="27"/>
      <c r="H570" s="7" t="n">
        <f aca="false">IFERROR(IF(D570="JPY",E570*$I$3,IF(D570="USD",E570*$J$3,E570)),"")</f>
        <v>0</v>
      </c>
    </row>
    <row r="571" customFormat="false" ht="15" hidden="false" customHeight="false" outlineLevel="0" collapsed="false">
      <c r="A571" s="27"/>
      <c r="B571" s="27"/>
      <c r="C571" s="27"/>
      <c r="D571" s="27"/>
      <c r="E571" s="27"/>
      <c r="F571" s="27"/>
      <c r="G571" s="27"/>
      <c r="H571" s="7" t="n">
        <f aca="false">IFERROR(IF(D571="JPY",E571*$I$3,IF(D571="USD",E571*$J$3,E571)),"")</f>
        <v>0</v>
      </c>
    </row>
    <row r="572" customFormat="false" ht="15" hidden="false" customHeight="false" outlineLevel="0" collapsed="false">
      <c r="A572" s="27"/>
      <c r="B572" s="27"/>
      <c r="C572" s="27"/>
      <c r="D572" s="27"/>
      <c r="E572" s="27"/>
      <c r="F572" s="27"/>
      <c r="G572" s="27"/>
      <c r="H572" s="7" t="n">
        <f aca="false">IFERROR(IF(D572="JPY",E572*$I$3,IF(D572="USD",E572*$J$3,E572)),"")</f>
        <v>0</v>
      </c>
    </row>
    <row r="573" customFormat="false" ht="15" hidden="false" customHeight="false" outlineLevel="0" collapsed="false">
      <c r="A573" s="27"/>
      <c r="B573" s="27"/>
      <c r="C573" s="27"/>
      <c r="D573" s="27"/>
      <c r="E573" s="27"/>
      <c r="F573" s="27"/>
      <c r="G573" s="27"/>
      <c r="H573" s="7" t="n">
        <f aca="false">IFERROR(IF(D573="JPY",E573*$I$3,IF(D573="USD",E573*$J$3,E573)),"")</f>
        <v>0</v>
      </c>
    </row>
    <row r="574" customFormat="false" ht="15" hidden="false" customHeight="false" outlineLevel="0" collapsed="false">
      <c r="A574" s="27"/>
      <c r="B574" s="27"/>
      <c r="C574" s="27"/>
      <c r="D574" s="27"/>
      <c r="E574" s="27"/>
      <c r="F574" s="27"/>
      <c r="G574" s="27"/>
      <c r="H574" s="7" t="n">
        <f aca="false">IFERROR(IF(D574="JPY",E574*$I$3,IF(D574="USD",E574*$J$3,E574)),"")</f>
        <v>0</v>
      </c>
    </row>
    <row r="575" customFormat="false" ht="15" hidden="false" customHeight="false" outlineLevel="0" collapsed="false">
      <c r="A575" s="27"/>
      <c r="B575" s="27"/>
      <c r="C575" s="27"/>
      <c r="D575" s="27"/>
      <c r="E575" s="27"/>
      <c r="F575" s="27"/>
      <c r="G575" s="27"/>
      <c r="H575" s="7" t="n">
        <f aca="false">IFERROR(IF(D575="JPY",E575*$I$3,IF(D575="USD",E575*$J$3,E575)),"")</f>
        <v>0</v>
      </c>
    </row>
    <row r="576" customFormat="false" ht="15" hidden="false" customHeight="false" outlineLevel="0" collapsed="false">
      <c r="A576" s="27"/>
      <c r="B576" s="27"/>
      <c r="C576" s="27"/>
      <c r="D576" s="27"/>
      <c r="E576" s="27"/>
      <c r="F576" s="27"/>
      <c r="G576" s="27"/>
      <c r="H576" s="7" t="n">
        <f aca="false">IFERROR(IF(D576="JPY",E576*$I$3,IF(D576="USD",E576*$J$3,E576)),"")</f>
        <v>0</v>
      </c>
    </row>
    <row r="577" customFormat="false" ht="15" hidden="false" customHeight="false" outlineLevel="0" collapsed="false">
      <c r="A577" s="27"/>
      <c r="B577" s="27"/>
      <c r="C577" s="27"/>
      <c r="D577" s="27"/>
      <c r="E577" s="27"/>
      <c r="F577" s="27"/>
      <c r="G577" s="27"/>
      <c r="H577" s="7" t="n">
        <f aca="false">IFERROR(IF(D577="JPY",E577*$I$3,IF(D577="USD",E577*$J$3,E577)),"")</f>
        <v>0</v>
      </c>
    </row>
    <row r="578" customFormat="false" ht="15" hidden="false" customHeight="false" outlineLevel="0" collapsed="false">
      <c r="A578" s="27"/>
      <c r="B578" s="27"/>
      <c r="C578" s="27"/>
      <c r="D578" s="27"/>
      <c r="E578" s="27"/>
      <c r="F578" s="27"/>
      <c r="G578" s="27"/>
      <c r="H578" s="7" t="n">
        <f aca="false">IFERROR(IF(D578="JPY",E578*$I$3,IF(D578="USD",E578*$J$3,E578)),"")</f>
        <v>0</v>
      </c>
    </row>
    <row r="579" customFormat="false" ht="15" hidden="false" customHeight="false" outlineLevel="0" collapsed="false">
      <c r="A579" s="27"/>
      <c r="B579" s="27"/>
      <c r="C579" s="27"/>
      <c r="D579" s="27"/>
      <c r="E579" s="27"/>
      <c r="F579" s="27"/>
      <c r="G579" s="27"/>
      <c r="H579" s="7" t="n">
        <f aca="false">IFERROR(IF(D579="JPY",E579*$I$3,IF(D579="USD",E579*$J$3,E579)),"")</f>
        <v>0</v>
      </c>
    </row>
    <row r="580" customFormat="false" ht="15" hidden="false" customHeight="false" outlineLevel="0" collapsed="false">
      <c r="A580" s="27"/>
      <c r="B580" s="27"/>
      <c r="C580" s="27"/>
      <c r="D580" s="27"/>
      <c r="E580" s="27"/>
      <c r="F580" s="27"/>
      <c r="G580" s="27"/>
      <c r="H580" s="7" t="n">
        <f aca="false">IFERROR(IF(D580="JPY",E580*$I$3,IF(D580="USD",E580*$J$3,E580)),"")</f>
        <v>0</v>
      </c>
    </row>
    <row r="581" customFormat="false" ht="15" hidden="false" customHeight="false" outlineLevel="0" collapsed="false">
      <c r="A581" s="27"/>
      <c r="B581" s="27"/>
      <c r="C581" s="27"/>
      <c r="D581" s="27"/>
      <c r="E581" s="27"/>
      <c r="F581" s="27"/>
      <c r="G581" s="27"/>
      <c r="H581" s="7" t="n">
        <f aca="false">IFERROR(IF(D581="JPY",E581*$I$3,IF(D581="USD",E581*$J$3,E581)),"")</f>
        <v>0</v>
      </c>
    </row>
    <row r="582" customFormat="false" ht="15" hidden="false" customHeight="false" outlineLevel="0" collapsed="false">
      <c r="A582" s="27"/>
      <c r="B582" s="27"/>
      <c r="C582" s="27"/>
      <c r="D582" s="27"/>
      <c r="E582" s="27"/>
      <c r="F582" s="27"/>
      <c r="G582" s="27"/>
      <c r="H582" s="7" t="n">
        <f aca="false">IFERROR(IF(D582="JPY",E582*$I$3,IF(D582="USD",E582*$J$3,E582)),"")</f>
        <v>0</v>
      </c>
    </row>
    <row r="583" customFormat="false" ht="15" hidden="false" customHeight="false" outlineLevel="0" collapsed="false">
      <c r="A583" s="27"/>
      <c r="B583" s="27"/>
      <c r="C583" s="27"/>
      <c r="D583" s="27"/>
      <c r="E583" s="27"/>
      <c r="F583" s="27"/>
      <c r="G583" s="27"/>
      <c r="H583" s="7" t="n">
        <f aca="false">IFERROR(IF(D583="JPY",E583*$I$3,IF(D583="USD",E583*$J$3,E583)),"")</f>
        <v>0</v>
      </c>
    </row>
    <row r="584" customFormat="false" ht="15" hidden="false" customHeight="false" outlineLevel="0" collapsed="false">
      <c r="A584" s="27"/>
      <c r="B584" s="27"/>
      <c r="C584" s="27"/>
      <c r="D584" s="27"/>
      <c r="E584" s="27"/>
      <c r="F584" s="27"/>
      <c r="G584" s="27"/>
      <c r="H584" s="7" t="n">
        <f aca="false">IFERROR(IF(D584="JPY",E584*$I$3,IF(D584="USD",E584*$J$3,E584)),"")</f>
        <v>0</v>
      </c>
    </row>
    <row r="585" customFormat="false" ht="15" hidden="false" customHeight="false" outlineLevel="0" collapsed="false">
      <c r="A585" s="27"/>
      <c r="B585" s="27"/>
      <c r="C585" s="27"/>
      <c r="D585" s="27"/>
      <c r="E585" s="27"/>
      <c r="F585" s="27"/>
      <c r="G585" s="27"/>
      <c r="H585" s="7" t="n">
        <f aca="false">IFERROR(IF(D585="JPY",E585*$I$3,IF(D585="USD",E585*$J$3,E585)),"")</f>
        <v>0</v>
      </c>
    </row>
    <row r="586" customFormat="false" ht="15" hidden="false" customHeight="false" outlineLevel="0" collapsed="false">
      <c r="A586" s="27"/>
      <c r="B586" s="27"/>
      <c r="C586" s="27"/>
      <c r="D586" s="27"/>
      <c r="E586" s="27"/>
      <c r="F586" s="27"/>
      <c r="G586" s="27"/>
      <c r="H586" s="7" t="n">
        <f aca="false">IFERROR(IF(D586="JPY",E586*$I$3,IF(D586="USD",E586*$J$3,E586)),"")</f>
        <v>0</v>
      </c>
    </row>
    <row r="587" customFormat="false" ht="15" hidden="false" customHeight="false" outlineLevel="0" collapsed="false">
      <c r="A587" s="27"/>
      <c r="B587" s="27"/>
      <c r="C587" s="27"/>
      <c r="D587" s="27"/>
      <c r="E587" s="27"/>
      <c r="F587" s="27"/>
      <c r="G587" s="27"/>
      <c r="H587" s="7" t="n">
        <f aca="false">IFERROR(IF(D587="JPY",E587*$I$3,IF(D587="USD",E587*$J$3,E587)),"")</f>
        <v>0</v>
      </c>
    </row>
    <row r="588" customFormat="false" ht="15" hidden="false" customHeight="false" outlineLevel="0" collapsed="false">
      <c r="A588" s="27"/>
      <c r="B588" s="27"/>
      <c r="C588" s="27"/>
      <c r="D588" s="27"/>
      <c r="E588" s="27"/>
      <c r="F588" s="27"/>
      <c r="G588" s="27"/>
      <c r="H588" s="7" t="n">
        <f aca="false">IFERROR(IF(D588="JPY",E588*$I$3,IF(D588="USD",E588*$J$3,E588)),"")</f>
        <v>0</v>
      </c>
    </row>
    <row r="589" customFormat="false" ht="15" hidden="false" customHeight="false" outlineLevel="0" collapsed="false">
      <c r="A589" s="27"/>
      <c r="B589" s="27"/>
      <c r="C589" s="27"/>
      <c r="D589" s="27"/>
      <c r="E589" s="27"/>
      <c r="F589" s="27"/>
      <c r="G589" s="27"/>
      <c r="H589" s="7" t="n">
        <f aca="false">IFERROR(IF(D589="JPY",E589*$I$3,IF(D589="USD",E589*$J$3,E589)),"")</f>
        <v>0</v>
      </c>
    </row>
    <row r="590" customFormat="false" ht="15" hidden="false" customHeight="false" outlineLevel="0" collapsed="false">
      <c r="A590" s="27"/>
      <c r="B590" s="27"/>
      <c r="C590" s="27"/>
      <c r="D590" s="27"/>
      <c r="E590" s="27"/>
      <c r="F590" s="27"/>
      <c r="G590" s="27"/>
      <c r="H590" s="7" t="n">
        <f aca="false">IFERROR(IF(D590="JPY",E590*$I$3,IF(D590="USD",E590*$J$3,E590)),"")</f>
        <v>0</v>
      </c>
    </row>
    <row r="591" customFormat="false" ht="15" hidden="false" customHeight="false" outlineLevel="0" collapsed="false">
      <c r="A591" s="27"/>
      <c r="B591" s="27"/>
      <c r="C591" s="27"/>
      <c r="D591" s="27"/>
      <c r="E591" s="27"/>
      <c r="F591" s="27"/>
      <c r="G591" s="27"/>
      <c r="H591" s="7" t="n">
        <f aca="false">IFERROR(IF(D591="JPY",E591*$I$3,IF(D591="USD",E591*$J$3,E591)),"")</f>
        <v>0</v>
      </c>
    </row>
    <row r="592" customFormat="false" ht="15" hidden="false" customHeight="false" outlineLevel="0" collapsed="false">
      <c r="A592" s="27"/>
      <c r="B592" s="27"/>
      <c r="C592" s="27"/>
      <c r="D592" s="27"/>
      <c r="E592" s="27"/>
      <c r="F592" s="27"/>
      <c r="G592" s="27"/>
      <c r="H592" s="7" t="n">
        <f aca="false">IFERROR(IF(D592="JPY",E592*$I$3,IF(D592="USD",E592*$J$3,E592)),"")</f>
        <v>0</v>
      </c>
    </row>
    <row r="593" customFormat="false" ht="15" hidden="false" customHeight="false" outlineLevel="0" collapsed="false">
      <c r="A593" s="27"/>
      <c r="B593" s="27"/>
      <c r="C593" s="27"/>
      <c r="D593" s="27"/>
      <c r="E593" s="27"/>
      <c r="F593" s="27"/>
      <c r="G593" s="27"/>
      <c r="H593" s="7" t="n">
        <f aca="false">IFERROR(IF(D593="JPY",E593*$I$3,IF(D593="USD",E593*$J$3,E593)),"")</f>
        <v>0</v>
      </c>
    </row>
    <row r="594" customFormat="false" ht="15" hidden="false" customHeight="false" outlineLevel="0" collapsed="false">
      <c r="A594" s="27"/>
      <c r="B594" s="27"/>
      <c r="C594" s="27"/>
      <c r="D594" s="27"/>
      <c r="E594" s="27"/>
      <c r="F594" s="27"/>
      <c r="G594" s="27"/>
      <c r="H594" s="7" t="n">
        <f aca="false">IFERROR(IF(D594="JPY",E594*$I$3,IF(D594="USD",E594*$J$3,E594)),"")</f>
        <v>0</v>
      </c>
    </row>
    <row r="595" customFormat="false" ht="15" hidden="false" customHeight="false" outlineLevel="0" collapsed="false">
      <c r="A595" s="27"/>
      <c r="B595" s="27"/>
      <c r="C595" s="27"/>
      <c r="D595" s="27"/>
      <c r="E595" s="27"/>
      <c r="F595" s="27"/>
      <c r="G595" s="27"/>
      <c r="H595" s="7" t="n">
        <f aca="false">IFERROR(IF(D595="JPY",E595*$I$3,IF(D595="USD",E595*$J$3,E595)),"")</f>
        <v>0</v>
      </c>
    </row>
    <row r="596" customFormat="false" ht="15" hidden="false" customHeight="false" outlineLevel="0" collapsed="false">
      <c r="A596" s="27"/>
      <c r="B596" s="27"/>
      <c r="C596" s="27"/>
      <c r="D596" s="27"/>
      <c r="E596" s="27"/>
      <c r="F596" s="27"/>
      <c r="G596" s="27"/>
      <c r="H596" s="7" t="n">
        <f aca="false">IFERROR(IF(D596="JPY",E596*$I$3,IF(D596="USD",E596*$J$3,E596)),"")</f>
        <v>0</v>
      </c>
    </row>
    <row r="597" customFormat="false" ht="15" hidden="false" customHeight="false" outlineLevel="0" collapsed="false">
      <c r="A597" s="27"/>
      <c r="B597" s="27"/>
      <c r="C597" s="27"/>
      <c r="D597" s="27"/>
      <c r="E597" s="27"/>
      <c r="F597" s="27"/>
      <c r="G597" s="27"/>
      <c r="H597" s="7" t="n">
        <f aca="false">IFERROR(IF(D597="JPY",E597*$I$3,IF(D597="USD",E597*$J$3,E597)),"")</f>
        <v>0</v>
      </c>
    </row>
    <row r="598" customFormat="false" ht="15" hidden="false" customHeight="false" outlineLevel="0" collapsed="false">
      <c r="A598" s="27"/>
      <c r="B598" s="27"/>
      <c r="C598" s="27"/>
      <c r="D598" s="27"/>
      <c r="E598" s="27"/>
      <c r="F598" s="27"/>
      <c r="G598" s="27"/>
      <c r="H598" s="7" t="n">
        <f aca="false">IFERROR(IF(D598="JPY",E598*$I$3,IF(D598="USD",E598*$J$3,E598)),"")</f>
        <v>0</v>
      </c>
    </row>
    <row r="599" customFormat="false" ht="15" hidden="false" customHeight="false" outlineLevel="0" collapsed="false">
      <c r="A599" s="27"/>
      <c r="B599" s="27"/>
      <c r="C599" s="27"/>
      <c r="D599" s="27"/>
      <c r="E599" s="27"/>
      <c r="F599" s="27"/>
      <c r="G599" s="27"/>
      <c r="H599" s="7" t="n">
        <f aca="false">IFERROR(IF(D599="JPY",E599*$I$3,IF(D599="USD",E599*$J$3,E599)),"")</f>
        <v>0</v>
      </c>
    </row>
    <row r="600" customFormat="false" ht="15" hidden="false" customHeight="false" outlineLevel="0" collapsed="false">
      <c r="A600" s="27"/>
      <c r="B600" s="27"/>
      <c r="C600" s="27"/>
      <c r="D600" s="27"/>
      <c r="E600" s="27"/>
      <c r="F600" s="27"/>
      <c r="G600" s="27"/>
      <c r="H600" s="7" t="n">
        <f aca="false">IFERROR(IF(D600="JPY",E600*$I$3,IF(D600="USD",E600*$J$3,E600)),"")</f>
        <v>0</v>
      </c>
    </row>
    <row r="601" customFormat="false" ht="15" hidden="false" customHeight="false" outlineLevel="0" collapsed="false">
      <c r="A601" s="27"/>
      <c r="B601" s="27"/>
      <c r="C601" s="27"/>
      <c r="D601" s="27"/>
      <c r="E601" s="27"/>
      <c r="F601" s="27"/>
      <c r="G601" s="27"/>
      <c r="H601" s="7" t="n">
        <f aca="false">IFERROR(IF(D601="JPY",E601*$I$3,IF(D601="USD",E601*$J$3,E601)),"")</f>
        <v>0</v>
      </c>
    </row>
    <row r="602" customFormat="false" ht="15" hidden="false" customHeight="false" outlineLevel="0" collapsed="false">
      <c r="A602" s="27"/>
      <c r="B602" s="27"/>
      <c r="C602" s="27"/>
      <c r="D602" s="27"/>
      <c r="E602" s="27"/>
      <c r="F602" s="27"/>
      <c r="G602" s="27"/>
      <c r="H602" s="7" t="n">
        <f aca="false">IFERROR(IF(D602="JPY",E602*$I$3,IF(D602="USD",E602*$J$3,E602)),"")</f>
        <v>0</v>
      </c>
    </row>
    <row r="603" customFormat="false" ht="15" hidden="false" customHeight="false" outlineLevel="0" collapsed="false">
      <c r="A603" s="27"/>
      <c r="B603" s="27"/>
      <c r="C603" s="27"/>
      <c r="D603" s="27"/>
      <c r="E603" s="27"/>
      <c r="F603" s="27"/>
      <c r="G603" s="27"/>
      <c r="H603" s="7" t="n">
        <f aca="false">IFERROR(IF(D603="JPY",E603*$I$3,IF(D603="USD",E603*$J$3,E603)),"")</f>
        <v>0</v>
      </c>
    </row>
    <row r="604" customFormat="false" ht="15" hidden="false" customHeight="false" outlineLevel="0" collapsed="false">
      <c r="A604" s="27"/>
      <c r="B604" s="27"/>
      <c r="C604" s="27"/>
      <c r="D604" s="27"/>
      <c r="E604" s="27"/>
      <c r="F604" s="27"/>
      <c r="G604" s="27"/>
      <c r="H604" s="7" t="n">
        <f aca="false">IFERROR(IF(D604="JPY",E604*$I$3,IF(D604="USD",E604*$J$3,E604)),"")</f>
        <v>0</v>
      </c>
    </row>
    <row r="605" customFormat="false" ht="15" hidden="false" customHeight="false" outlineLevel="0" collapsed="false">
      <c r="A605" s="27"/>
      <c r="B605" s="27"/>
      <c r="C605" s="27"/>
      <c r="D605" s="27"/>
      <c r="E605" s="27"/>
      <c r="F605" s="27"/>
      <c r="G605" s="27"/>
      <c r="H605" s="7" t="n">
        <f aca="false">IFERROR(IF(D605="JPY",E605*$I$3,IF(D605="USD",E605*$J$3,E605)),"")</f>
        <v>0</v>
      </c>
    </row>
    <row r="606" customFormat="false" ht="15" hidden="false" customHeight="false" outlineLevel="0" collapsed="false">
      <c r="A606" s="27"/>
      <c r="B606" s="27"/>
      <c r="C606" s="27"/>
      <c r="D606" s="27"/>
      <c r="E606" s="27"/>
      <c r="F606" s="27"/>
      <c r="G606" s="27"/>
      <c r="H606" s="7" t="n">
        <f aca="false">IFERROR(IF(D606="JPY",E606*$I$3,IF(D606="USD",E606*$J$3,E606)),"")</f>
        <v>0</v>
      </c>
    </row>
    <row r="607" customFormat="false" ht="15" hidden="false" customHeight="false" outlineLevel="0" collapsed="false">
      <c r="A607" s="27"/>
      <c r="B607" s="27"/>
      <c r="C607" s="27"/>
      <c r="D607" s="27"/>
      <c r="E607" s="27"/>
      <c r="F607" s="27"/>
      <c r="G607" s="27"/>
      <c r="H607" s="7" t="n">
        <f aca="false">IFERROR(IF(D607="JPY",E607*$I$3,IF(D607="USD",E607*$J$3,E607)),"")</f>
        <v>0</v>
      </c>
    </row>
    <row r="608" customFormat="false" ht="15" hidden="false" customHeight="false" outlineLevel="0" collapsed="false">
      <c r="A608" s="27"/>
      <c r="B608" s="27"/>
      <c r="C608" s="27"/>
      <c r="D608" s="27"/>
      <c r="E608" s="27"/>
      <c r="F608" s="27"/>
      <c r="G608" s="27"/>
      <c r="H608" s="7" t="n">
        <f aca="false">IFERROR(IF(D608="JPY",E608*$I$3,IF(D608="USD",E608*$J$3,E608)),"")</f>
        <v>0</v>
      </c>
    </row>
    <row r="609" customFormat="false" ht="15" hidden="false" customHeight="false" outlineLevel="0" collapsed="false">
      <c r="A609" s="27"/>
      <c r="B609" s="27"/>
      <c r="C609" s="27"/>
      <c r="D609" s="27"/>
      <c r="E609" s="27"/>
      <c r="F609" s="27"/>
      <c r="G609" s="27"/>
      <c r="H609" s="7" t="n">
        <f aca="false">IFERROR(IF(D609="JPY",E609*$I$3,IF(D609="USD",E609*$J$3,E609)),"")</f>
        <v>0</v>
      </c>
    </row>
    <row r="610" customFormat="false" ht="15" hidden="false" customHeight="false" outlineLevel="0" collapsed="false">
      <c r="A610" s="27"/>
      <c r="B610" s="27"/>
      <c r="C610" s="27"/>
      <c r="D610" s="27"/>
      <c r="E610" s="27"/>
      <c r="F610" s="27"/>
      <c r="G610" s="27"/>
      <c r="H610" s="7" t="n">
        <f aca="false">IFERROR(IF(D610="JPY",E610*$I$3,IF(D610="USD",E610*$J$3,E610)),"")</f>
        <v>0</v>
      </c>
    </row>
    <row r="611" customFormat="false" ht="15" hidden="false" customHeight="false" outlineLevel="0" collapsed="false">
      <c r="A611" s="27"/>
      <c r="B611" s="27"/>
      <c r="C611" s="27"/>
      <c r="D611" s="27"/>
      <c r="E611" s="27"/>
      <c r="F611" s="27"/>
      <c r="G611" s="27"/>
      <c r="H611" s="7" t="n">
        <f aca="false">IFERROR(IF(D611="JPY",E611*$I$3,IF(D611="USD",E611*$J$3,E611)),"")</f>
        <v>0</v>
      </c>
    </row>
    <row r="612" customFormat="false" ht="15" hidden="false" customHeight="false" outlineLevel="0" collapsed="false">
      <c r="A612" s="27"/>
      <c r="B612" s="27"/>
      <c r="C612" s="27"/>
      <c r="D612" s="27"/>
      <c r="E612" s="27"/>
      <c r="F612" s="27"/>
      <c r="G612" s="27"/>
      <c r="H612" s="7" t="n">
        <f aca="false">IFERROR(IF(D612="JPY",E612*$I$3,IF(D612="USD",E612*$J$3,E612)),"")</f>
        <v>0</v>
      </c>
    </row>
    <row r="613" customFormat="false" ht="15" hidden="false" customHeight="false" outlineLevel="0" collapsed="false">
      <c r="A613" s="27"/>
      <c r="B613" s="27"/>
      <c r="C613" s="27"/>
      <c r="D613" s="27"/>
      <c r="E613" s="27"/>
      <c r="F613" s="27"/>
      <c r="G613" s="27"/>
      <c r="H613" s="7" t="n">
        <f aca="false">IFERROR(IF(D613="JPY",E613*$I$3,IF(D613="USD",E613*$J$3,E613)),"")</f>
        <v>0</v>
      </c>
    </row>
    <row r="614" customFormat="false" ht="15" hidden="false" customHeight="false" outlineLevel="0" collapsed="false">
      <c r="A614" s="27"/>
      <c r="B614" s="27"/>
      <c r="C614" s="27"/>
      <c r="D614" s="27"/>
      <c r="E614" s="27"/>
      <c r="F614" s="27"/>
      <c r="G614" s="27"/>
      <c r="H614" s="7" t="n">
        <f aca="false">IFERROR(IF(D614="JPY",E614*$I$3,IF(D614="USD",E614*$J$3,E614)),"")</f>
        <v>0</v>
      </c>
    </row>
    <row r="615" customFormat="false" ht="15" hidden="false" customHeight="false" outlineLevel="0" collapsed="false">
      <c r="A615" s="27"/>
      <c r="B615" s="27"/>
      <c r="C615" s="27"/>
      <c r="D615" s="27"/>
      <c r="E615" s="27"/>
      <c r="F615" s="27"/>
      <c r="G615" s="27"/>
      <c r="H615" s="7" t="n">
        <f aca="false">IFERROR(IF(D615="JPY",E615*$I$3,IF(D615="USD",E615*$J$3,E615)),"")</f>
        <v>0</v>
      </c>
    </row>
    <row r="616" customFormat="false" ht="15" hidden="false" customHeight="false" outlineLevel="0" collapsed="false">
      <c r="A616" s="27"/>
      <c r="B616" s="27"/>
      <c r="C616" s="27"/>
      <c r="D616" s="27"/>
      <c r="E616" s="27"/>
      <c r="F616" s="27"/>
      <c r="G616" s="27"/>
      <c r="H616" s="7" t="n">
        <f aca="false">IFERROR(IF(D616="JPY",E616*$I$3,IF(D616="USD",E616*$J$3,E616)),"")</f>
        <v>0</v>
      </c>
    </row>
    <row r="617" customFormat="false" ht="15" hidden="false" customHeight="false" outlineLevel="0" collapsed="false">
      <c r="A617" s="27"/>
      <c r="B617" s="27"/>
      <c r="C617" s="27"/>
      <c r="D617" s="27"/>
      <c r="E617" s="27"/>
      <c r="F617" s="27"/>
      <c r="G617" s="27"/>
      <c r="H617" s="7" t="n">
        <f aca="false">IFERROR(IF(D617="JPY",E617*$I$3,IF(D617="USD",E617*$J$3,E617)),"")</f>
        <v>0</v>
      </c>
    </row>
    <row r="618" customFormat="false" ht="15" hidden="false" customHeight="false" outlineLevel="0" collapsed="false">
      <c r="A618" s="27"/>
      <c r="B618" s="27"/>
      <c r="C618" s="27"/>
      <c r="D618" s="27"/>
      <c r="E618" s="27"/>
      <c r="F618" s="27"/>
      <c r="G618" s="27"/>
      <c r="H618" s="7" t="n">
        <f aca="false">IFERROR(IF(D618="JPY",E618*$I$3,IF(D618="USD",E618*$J$3,E618)),"")</f>
        <v>0</v>
      </c>
    </row>
    <row r="619" customFormat="false" ht="15" hidden="false" customHeight="false" outlineLevel="0" collapsed="false">
      <c r="A619" s="27"/>
      <c r="B619" s="27"/>
      <c r="C619" s="27"/>
      <c r="D619" s="27"/>
      <c r="E619" s="27"/>
      <c r="F619" s="27"/>
      <c r="G619" s="27"/>
      <c r="H619" s="7" t="n">
        <f aca="false">IFERROR(IF(D619="JPY",E619*$I$3,IF(D619="USD",E619*$J$3,E619)),"")</f>
        <v>0</v>
      </c>
    </row>
    <row r="620" customFormat="false" ht="15" hidden="false" customHeight="false" outlineLevel="0" collapsed="false">
      <c r="A620" s="27"/>
      <c r="B620" s="27"/>
      <c r="C620" s="27"/>
      <c r="D620" s="27"/>
      <c r="E620" s="27"/>
      <c r="F620" s="27"/>
      <c r="G620" s="27"/>
      <c r="H620" s="7" t="n">
        <f aca="false">IFERROR(IF(D620="JPY",E620*$I$3,IF(D620="USD",E620*$J$3,E620)),"")</f>
        <v>0</v>
      </c>
    </row>
    <row r="621" customFormat="false" ht="15" hidden="false" customHeight="false" outlineLevel="0" collapsed="false">
      <c r="A621" s="27"/>
      <c r="B621" s="27"/>
      <c r="C621" s="27"/>
      <c r="D621" s="27"/>
      <c r="E621" s="27"/>
      <c r="F621" s="27"/>
      <c r="G621" s="27"/>
      <c r="H621" s="7" t="n">
        <f aca="false">IFERROR(IF(D621="JPY",E621*$I$3,IF(D621="USD",E621*$J$3,E621)),"")</f>
        <v>0</v>
      </c>
    </row>
    <row r="622" customFormat="false" ht="15" hidden="false" customHeight="false" outlineLevel="0" collapsed="false">
      <c r="A622" s="27"/>
      <c r="B622" s="27"/>
      <c r="C622" s="27"/>
      <c r="D622" s="27"/>
      <c r="E622" s="27"/>
      <c r="F622" s="27"/>
      <c r="G622" s="27"/>
      <c r="H622" s="7" t="n">
        <f aca="false">IFERROR(IF(D622="JPY",E622*$I$3,IF(D622="USD",E622*$J$3,E622)),"")</f>
        <v>0</v>
      </c>
    </row>
    <row r="623" customFormat="false" ht="15" hidden="false" customHeight="false" outlineLevel="0" collapsed="false">
      <c r="A623" s="27"/>
      <c r="B623" s="27"/>
      <c r="C623" s="27"/>
      <c r="D623" s="27"/>
      <c r="E623" s="27"/>
      <c r="F623" s="27"/>
      <c r="G623" s="27"/>
      <c r="H623" s="7" t="n">
        <f aca="false">IFERROR(IF(D623="JPY",E623*$I$3,IF(D623="USD",E623*$J$3,E623)),"")</f>
        <v>0</v>
      </c>
    </row>
    <row r="624" customFormat="false" ht="15" hidden="false" customHeight="false" outlineLevel="0" collapsed="false">
      <c r="A624" s="27"/>
      <c r="B624" s="27"/>
      <c r="C624" s="27"/>
      <c r="D624" s="27"/>
      <c r="E624" s="27"/>
      <c r="F624" s="27"/>
      <c r="G624" s="27"/>
      <c r="H624" s="7" t="n">
        <f aca="false">IFERROR(IF(D624="JPY",E624*$I$3,IF(D624="USD",E624*$J$3,E624)),"")</f>
        <v>0</v>
      </c>
    </row>
    <row r="625" customFormat="false" ht="15" hidden="false" customHeight="false" outlineLevel="0" collapsed="false">
      <c r="A625" s="27"/>
      <c r="B625" s="27"/>
      <c r="C625" s="27"/>
      <c r="D625" s="27"/>
      <c r="E625" s="27"/>
      <c r="F625" s="27"/>
      <c r="G625" s="27"/>
      <c r="H625" s="7" t="n">
        <f aca="false">IFERROR(IF(D625="JPY",E625*$I$3,IF(D625="USD",E625*$J$3,E625)),"")</f>
        <v>0</v>
      </c>
    </row>
    <row r="626" customFormat="false" ht="15" hidden="false" customHeight="false" outlineLevel="0" collapsed="false">
      <c r="A626" s="27"/>
      <c r="B626" s="27"/>
      <c r="C626" s="27"/>
      <c r="D626" s="27"/>
      <c r="E626" s="27"/>
      <c r="F626" s="27"/>
      <c r="G626" s="27"/>
      <c r="H626" s="7" t="n">
        <f aca="false">IFERROR(IF(D626="JPY",E626*$I$3,IF(D626="USD",E626*$J$3,E626)),"")</f>
        <v>0</v>
      </c>
    </row>
    <row r="627" customFormat="false" ht="15" hidden="false" customHeight="false" outlineLevel="0" collapsed="false">
      <c r="A627" s="27"/>
      <c r="B627" s="27"/>
      <c r="C627" s="27"/>
      <c r="D627" s="27"/>
      <c r="E627" s="27"/>
      <c r="F627" s="27"/>
      <c r="G627" s="27"/>
      <c r="H627" s="7" t="n">
        <f aca="false">IFERROR(IF(D627="JPY",E627*$I$3,IF(D627="USD",E627*$J$3,E627)),"")</f>
        <v>0</v>
      </c>
    </row>
    <row r="628" customFormat="false" ht="15" hidden="false" customHeight="false" outlineLevel="0" collapsed="false">
      <c r="A628" s="27"/>
      <c r="B628" s="27"/>
      <c r="C628" s="27"/>
      <c r="D628" s="27"/>
      <c r="E628" s="27"/>
      <c r="F628" s="27"/>
      <c r="G628" s="27"/>
      <c r="H628" s="7" t="n">
        <f aca="false">IFERROR(IF(D628="JPY",E628*$I$3,IF(D628="USD",E628*$J$3,E628)),"")</f>
        <v>0</v>
      </c>
    </row>
    <row r="629" customFormat="false" ht="15" hidden="false" customHeight="false" outlineLevel="0" collapsed="false">
      <c r="A629" s="27"/>
      <c r="B629" s="27"/>
      <c r="C629" s="27"/>
      <c r="D629" s="27"/>
      <c r="E629" s="27"/>
      <c r="F629" s="27"/>
      <c r="G629" s="27"/>
      <c r="H629" s="7" t="n">
        <f aca="false">IFERROR(IF(D629="JPY",E629*$I$3,IF(D629="USD",E629*$J$3,E629)),"")</f>
        <v>0</v>
      </c>
    </row>
    <row r="630" customFormat="false" ht="15" hidden="false" customHeight="false" outlineLevel="0" collapsed="false">
      <c r="A630" s="27"/>
      <c r="B630" s="27"/>
      <c r="C630" s="27"/>
      <c r="D630" s="27"/>
      <c r="E630" s="27"/>
      <c r="F630" s="27"/>
      <c r="G630" s="27"/>
      <c r="H630" s="7" t="n">
        <f aca="false">IFERROR(IF(D630="JPY",E630*$I$3,IF(D630="USD",E630*$J$3,E630)),"")</f>
        <v>0</v>
      </c>
    </row>
    <row r="631" customFormat="false" ht="15" hidden="false" customHeight="false" outlineLevel="0" collapsed="false">
      <c r="A631" s="27"/>
      <c r="B631" s="27"/>
      <c r="C631" s="27"/>
      <c r="D631" s="27"/>
      <c r="E631" s="27"/>
      <c r="F631" s="27"/>
      <c r="G631" s="27"/>
      <c r="H631" s="7" t="n">
        <f aca="false">IFERROR(IF(D631="JPY",E631*$I$3,IF(D631="USD",E631*$J$3,E631)),"")</f>
        <v>0</v>
      </c>
    </row>
    <row r="632" customFormat="false" ht="15" hidden="false" customHeight="false" outlineLevel="0" collapsed="false">
      <c r="A632" s="27"/>
      <c r="B632" s="27"/>
      <c r="C632" s="27"/>
      <c r="D632" s="27"/>
      <c r="E632" s="27"/>
      <c r="F632" s="27"/>
      <c r="G632" s="27"/>
      <c r="H632" s="7" t="n">
        <f aca="false">IFERROR(IF(D632="JPY",E632*$I$3,IF(D632="USD",E632*$J$3,E632)),"")</f>
        <v>0</v>
      </c>
    </row>
    <row r="633" customFormat="false" ht="15" hidden="false" customHeight="false" outlineLevel="0" collapsed="false">
      <c r="A633" s="27"/>
      <c r="B633" s="27"/>
      <c r="C633" s="27"/>
      <c r="D633" s="27"/>
      <c r="E633" s="27"/>
      <c r="F633" s="27"/>
      <c r="G633" s="27"/>
      <c r="H633" s="7" t="n">
        <f aca="false">IFERROR(IF(D633="JPY",E633*$I$3,IF(D633="USD",E633*$J$3,E633)),"")</f>
        <v>0</v>
      </c>
    </row>
    <row r="634" customFormat="false" ht="15" hidden="false" customHeight="false" outlineLevel="0" collapsed="false">
      <c r="A634" s="27"/>
      <c r="B634" s="27"/>
      <c r="C634" s="27"/>
      <c r="D634" s="27"/>
      <c r="E634" s="27"/>
      <c r="F634" s="27"/>
      <c r="G634" s="27"/>
      <c r="H634" s="7" t="n">
        <f aca="false">IFERROR(IF(D634="JPY",E634*$I$3,IF(D634="USD",E634*$J$3,E634)),"")</f>
        <v>0</v>
      </c>
    </row>
    <row r="635" customFormat="false" ht="15" hidden="false" customHeight="false" outlineLevel="0" collapsed="false">
      <c r="A635" s="27"/>
      <c r="B635" s="27"/>
      <c r="C635" s="27"/>
      <c r="D635" s="27"/>
      <c r="E635" s="27"/>
      <c r="F635" s="27"/>
      <c r="G635" s="27"/>
      <c r="H635" s="7" t="n">
        <f aca="false">IFERROR(IF(D635="JPY",E635*$I$3,IF(D635="USD",E635*$J$3,E635)),"")</f>
        <v>0</v>
      </c>
    </row>
    <row r="636" customFormat="false" ht="15" hidden="false" customHeight="false" outlineLevel="0" collapsed="false">
      <c r="A636" s="27"/>
      <c r="B636" s="27"/>
      <c r="C636" s="27"/>
      <c r="D636" s="27"/>
      <c r="E636" s="27"/>
      <c r="F636" s="27"/>
      <c r="G636" s="27"/>
      <c r="H636" s="7" t="n">
        <f aca="false">IFERROR(IF(D636="JPY",E636*$I$3,IF(D636="USD",E636*$J$3,E636)),"")</f>
        <v>0</v>
      </c>
    </row>
    <row r="637" customFormat="false" ht="15" hidden="false" customHeight="false" outlineLevel="0" collapsed="false">
      <c r="A637" s="27"/>
      <c r="B637" s="27"/>
      <c r="C637" s="27"/>
      <c r="D637" s="27"/>
      <c r="E637" s="27"/>
      <c r="F637" s="27"/>
      <c r="G637" s="27"/>
      <c r="H637" s="7" t="n">
        <f aca="false">IFERROR(IF(D637="JPY",E637*$I$3,IF(D637="USD",E637*$J$3,E637)),"")</f>
        <v>0</v>
      </c>
    </row>
    <row r="638" customFormat="false" ht="15" hidden="false" customHeight="false" outlineLevel="0" collapsed="false">
      <c r="A638" s="27"/>
      <c r="B638" s="27"/>
      <c r="C638" s="27"/>
      <c r="D638" s="27"/>
      <c r="E638" s="27"/>
      <c r="F638" s="27"/>
      <c r="G638" s="27"/>
      <c r="H638" s="7" t="n">
        <f aca="false">IFERROR(IF(D638="JPY",E638*$I$3,IF(D638="USD",E638*$J$3,E638)),"")</f>
        <v>0</v>
      </c>
    </row>
    <row r="639" customFormat="false" ht="15" hidden="false" customHeight="false" outlineLevel="0" collapsed="false">
      <c r="A639" s="27"/>
      <c r="B639" s="27"/>
      <c r="C639" s="27"/>
      <c r="D639" s="27"/>
      <c r="E639" s="27"/>
      <c r="F639" s="27"/>
      <c r="G639" s="27"/>
      <c r="H639" s="7" t="n">
        <f aca="false">IFERROR(IF(D639="JPY",E639*$I$3,IF(D639="USD",E639*$J$3,E639)),"")</f>
        <v>0</v>
      </c>
    </row>
    <row r="640" customFormat="false" ht="15" hidden="false" customHeight="false" outlineLevel="0" collapsed="false">
      <c r="A640" s="27"/>
      <c r="B640" s="27"/>
      <c r="C640" s="27"/>
      <c r="D640" s="27"/>
      <c r="E640" s="27"/>
      <c r="F640" s="27"/>
      <c r="G640" s="27"/>
      <c r="H640" s="7" t="n">
        <f aca="false">IFERROR(IF(D640="JPY",E640*$I$3,IF(D640="USD",E640*$J$3,E640)),"")</f>
        <v>0</v>
      </c>
    </row>
    <row r="641" customFormat="false" ht="15" hidden="false" customHeight="false" outlineLevel="0" collapsed="false">
      <c r="A641" s="27"/>
      <c r="B641" s="27"/>
      <c r="C641" s="27"/>
      <c r="D641" s="27"/>
      <c r="E641" s="27"/>
      <c r="F641" s="27"/>
      <c r="G641" s="27"/>
      <c r="H641" s="7" t="n">
        <f aca="false">IFERROR(IF(D641="JPY",E641*$I$3,IF(D641="USD",E641*$J$3,E641)),"")</f>
        <v>0</v>
      </c>
    </row>
    <row r="642" customFormat="false" ht="15" hidden="false" customHeight="false" outlineLevel="0" collapsed="false">
      <c r="A642" s="27"/>
      <c r="B642" s="27"/>
      <c r="C642" s="27"/>
      <c r="D642" s="27"/>
      <c r="E642" s="27"/>
      <c r="F642" s="27"/>
      <c r="G642" s="27"/>
      <c r="H642" s="7" t="n">
        <f aca="false">IFERROR(IF(D642="JPY",E642*$I$3,IF(D642="USD",E642*$J$3,E642)),"")</f>
        <v>0</v>
      </c>
    </row>
    <row r="643" customFormat="false" ht="15" hidden="false" customHeight="false" outlineLevel="0" collapsed="false">
      <c r="A643" s="27"/>
      <c r="B643" s="27"/>
      <c r="C643" s="27"/>
      <c r="D643" s="27"/>
      <c r="E643" s="27"/>
      <c r="F643" s="27"/>
      <c r="G643" s="27"/>
      <c r="H643" s="7" t="n">
        <f aca="false">IFERROR(IF(D643="JPY",E643*$I$3,IF(D643="USD",E643*$J$3,E643)),"")</f>
        <v>0</v>
      </c>
    </row>
    <row r="644" customFormat="false" ht="15" hidden="false" customHeight="false" outlineLevel="0" collapsed="false">
      <c r="A644" s="27"/>
      <c r="B644" s="27"/>
      <c r="C644" s="27"/>
      <c r="D644" s="27"/>
      <c r="E644" s="27"/>
      <c r="F644" s="27"/>
      <c r="G644" s="27"/>
      <c r="H644" s="7" t="n">
        <f aca="false">IFERROR(IF(D644="JPY",E644*$I$3,IF(D644="USD",E644*$J$3,E644)),"")</f>
        <v>0</v>
      </c>
    </row>
    <row r="645" customFormat="false" ht="15" hidden="false" customHeight="false" outlineLevel="0" collapsed="false">
      <c r="A645" s="27"/>
      <c r="B645" s="27"/>
      <c r="C645" s="27"/>
      <c r="D645" s="27"/>
      <c r="E645" s="27"/>
      <c r="F645" s="27"/>
      <c r="G645" s="27"/>
      <c r="H645" s="7" t="n">
        <f aca="false">IFERROR(IF(D645="JPY",E645*$I$3,IF(D645="USD",E645*$J$3,E645)),"")</f>
        <v>0</v>
      </c>
    </row>
    <row r="646" customFormat="false" ht="15" hidden="false" customHeight="false" outlineLevel="0" collapsed="false">
      <c r="A646" s="27"/>
      <c r="B646" s="27"/>
      <c r="C646" s="27"/>
      <c r="D646" s="27"/>
      <c r="E646" s="27"/>
      <c r="F646" s="27"/>
      <c r="G646" s="27"/>
      <c r="H646" s="7" t="n">
        <f aca="false">IFERROR(IF(D646="JPY",E646*$I$3,IF(D646="USD",E646*$J$3,E646)),"")</f>
        <v>0</v>
      </c>
    </row>
    <row r="647" customFormat="false" ht="15" hidden="false" customHeight="false" outlineLevel="0" collapsed="false">
      <c r="A647" s="27"/>
      <c r="B647" s="27"/>
      <c r="C647" s="27"/>
      <c r="D647" s="27"/>
      <c r="E647" s="27"/>
      <c r="F647" s="27"/>
      <c r="G647" s="27"/>
      <c r="H647" s="7" t="n">
        <f aca="false">IFERROR(IF(D647="JPY",E647*$I$3,IF(D647="USD",E647*$J$3,E647)),"")</f>
        <v>0</v>
      </c>
    </row>
    <row r="648" customFormat="false" ht="15" hidden="false" customHeight="false" outlineLevel="0" collapsed="false">
      <c r="A648" s="27"/>
      <c r="B648" s="27"/>
      <c r="C648" s="27"/>
      <c r="D648" s="27"/>
      <c r="E648" s="27"/>
      <c r="F648" s="27"/>
      <c r="G648" s="27"/>
      <c r="H648" s="7" t="n">
        <f aca="false">IFERROR(IF(D648="JPY",E648*$I$3,IF(D648="USD",E648*$J$3,E648)),"")</f>
        <v>0</v>
      </c>
    </row>
    <row r="649" customFormat="false" ht="15" hidden="false" customHeight="false" outlineLevel="0" collapsed="false">
      <c r="A649" s="27"/>
      <c r="B649" s="27"/>
      <c r="C649" s="27"/>
      <c r="D649" s="27"/>
      <c r="E649" s="27"/>
      <c r="F649" s="27"/>
      <c r="G649" s="27"/>
      <c r="H649" s="7" t="n">
        <f aca="false">IFERROR(IF(D649="JPY",E649*$I$3,IF(D649="USD",E649*$J$3,E649)),"")</f>
        <v>0</v>
      </c>
    </row>
    <row r="650" customFormat="false" ht="15" hidden="false" customHeight="false" outlineLevel="0" collapsed="false">
      <c r="A650" s="27"/>
      <c r="B650" s="27"/>
      <c r="C650" s="27"/>
      <c r="D650" s="27"/>
      <c r="E650" s="27"/>
      <c r="F650" s="27"/>
      <c r="G650" s="27"/>
      <c r="H650" s="7" t="n">
        <f aca="false">IFERROR(IF(D650="JPY",E650*$I$3,IF(D650="USD",E650*$J$3,E650)),"")</f>
        <v>0</v>
      </c>
    </row>
    <row r="651" customFormat="false" ht="15" hidden="false" customHeight="false" outlineLevel="0" collapsed="false">
      <c r="A651" s="27"/>
      <c r="B651" s="27"/>
      <c r="C651" s="27"/>
      <c r="D651" s="27"/>
      <c r="E651" s="27"/>
      <c r="F651" s="27"/>
      <c r="G651" s="27"/>
      <c r="H651" s="7" t="n">
        <f aca="false">IFERROR(IF(D651="JPY",E651*$I$3,IF(D651="USD",E651*$J$3,E651)),"")</f>
        <v>0</v>
      </c>
    </row>
    <row r="652" customFormat="false" ht="15" hidden="false" customHeight="false" outlineLevel="0" collapsed="false">
      <c r="A652" s="27"/>
      <c r="B652" s="27"/>
      <c r="C652" s="27"/>
      <c r="D652" s="27"/>
      <c r="E652" s="27"/>
      <c r="F652" s="27"/>
      <c r="G652" s="27"/>
      <c r="H652" s="7" t="n">
        <f aca="false">IFERROR(IF(D652="JPY",E652*$I$3,IF(D652="USD",E652*$J$3,E652)),"")</f>
        <v>0</v>
      </c>
    </row>
    <row r="653" customFormat="false" ht="15" hidden="false" customHeight="false" outlineLevel="0" collapsed="false">
      <c r="A653" s="27"/>
      <c r="B653" s="27"/>
      <c r="C653" s="27"/>
      <c r="D653" s="27"/>
      <c r="E653" s="27"/>
      <c r="F653" s="27"/>
      <c r="G653" s="27"/>
      <c r="H653" s="7" t="n">
        <f aca="false">IFERROR(IF(D653="JPY",E653*$I$3,IF(D653="USD",E653*$J$3,E653)),"")</f>
        <v>0</v>
      </c>
    </row>
    <row r="654" customFormat="false" ht="15" hidden="false" customHeight="false" outlineLevel="0" collapsed="false">
      <c r="A654" s="27"/>
      <c r="B654" s="27"/>
      <c r="C654" s="27"/>
      <c r="D654" s="27"/>
      <c r="E654" s="27"/>
      <c r="F654" s="27"/>
      <c r="G654" s="27"/>
      <c r="H654" s="7" t="n">
        <f aca="false">IFERROR(IF(D654="JPY",E654*$I$3,IF(D654="USD",E654*$J$3,E654)),"")</f>
        <v>0</v>
      </c>
    </row>
    <row r="655" customFormat="false" ht="15" hidden="false" customHeight="false" outlineLevel="0" collapsed="false">
      <c r="A655" s="27"/>
      <c r="B655" s="27"/>
      <c r="C655" s="27"/>
      <c r="D655" s="27"/>
      <c r="E655" s="27"/>
      <c r="F655" s="27"/>
      <c r="G655" s="27"/>
      <c r="H655" s="7" t="n">
        <f aca="false">IFERROR(IF(D655="JPY",E655*$I$3,IF(D655="USD",E655*$J$3,E655)),"")</f>
        <v>0</v>
      </c>
    </row>
    <row r="656" customFormat="false" ht="15" hidden="false" customHeight="false" outlineLevel="0" collapsed="false">
      <c r="A656" s="27"/>
      <c r="B656" s="27"/>
      <c r="C656" s="27"/>
      <c r="D656" s="27"/>
      <c r="E656" s="27"/>
      <c r="F656" s="27"/>
      <c r="G656" s="27"/>
      <c r="H656" s="7" t="n">
        <f aca="false">IFERROR(IF(D656="JPY",E656*$I$3,IF(D656="USD",E656*$J$3,E656)),"")</f>
        <v>0</v>
      </c>
    </row>
    <row r="657" customFormat="false" ht="15" hidden="false" customHeight="false" outlineLevel="0" collapsed="false">
      <c r="A657" s="27"/>
      <c r="B657" s="27"/>
      <c r="C657" s="27"/>
      <c r="D657" s="27"/>
      <c r="E657" s="27"/>
      <c r="F657" s="27"/>
      <c r="G657" s="27"/>
      <c r="H657" s="7" t="n">
        <f aca="false">IFERROR(IF(D657="JPY",E657*$I$3,IF(D657="USD",E657*$J$3,E657)),"")</f>
        <v>0</v>
      </c>
    </row>
    <row r="658" customFormat="false" ht="15" hidden="false" customHeight="false" outlineLevel="0" collapsed="false">
      <c r="A658" s="27"/>
      <c r="B658" s="27"/>
      <c r="C658" s="27"/>
      <c r="D658" s="27"/>
      <c r="E658" s="27"/>
      <c r="F658" s="27"/>
      <c r="G658" s="27"/>
      <c r="H658" s="7" t="n">
        <f aca="false">IFERROR(IF(D658="JPY",E658*$I$3,IF(D658="USD",E658*$J$3,E658)),"")</f>
        <v>0</v>
      </c>
    </row>
    <row r="659" customFormat="false" ht="15" hidden="false" customHeight="false" outlineLevel="0" collapsed="false">
      <c r="A659" s="27"/>
      <c r="B659" s="27"/>
      <c r="C659" s="27"/>
      <c r="D659" s="27"/>
      <c r="E659" s="27"/>
      <c r="F659" s="27"/>
      <c r="G659" s="27"/>
      <c r="H659" s="7" t="n">
        <f aca="false">IFERROR(IF(D659="JPY",E659*$I$3,IF(D659="USD",E659*$J$3,E659)),"")</f>
        <v>0</v>
      </c>
    </row>
    <row r="660" customFormat="false" ht="15" hidden="false" customHeight="false" outlineLevel="0" collapsed="false">
      <c r="A660" s="27"/>
      <c r="B660" s="27"/>
      <c r="C660" s="27"/>
      <c r="D660" s="27"/>
      <c r="E660" s="27"/>
      <c r="F660" s="27"/>
      <c r="G660" s="27"/>
      <c r="H660" s="7" t="n">
        <f aca="false">IFERROR(IF(D660="JPY",E660*$I$3,IF(D660="USD",E660*$J$3,E660)),"")</f>
        <v>0</v>
      </c>
    </row>
    <row r="661" customFormat="false" ht="15" hidden="false" customHeight="false" outlineLevel="0" collapsed="false">
      <c r="A661" s="27"/>
      <c r="B661" s="27"/>
      <c r="C661" s="27"/>
      <c r="D661" s="27"/>
      <c r="E661" s="27"/>
      <c r="F661" s="27"/>
      <c r="G661" s="27"/>
      <c r="H661" s="7" t="n">
        <f aca="false">IFERROR(IF(D661="JPY",E661*$I$3,IF(D661="USD",E661*$J$3,E661)),"")</f>
        <v>0</v>
      </c>
    </row>
    <row r="662" customFormat="false" ht="15" hidden="false" customHeight="false" outlineLevel="0" collapsed="false">
      <c r="A662" s="27"/>
      <c r="B662" s="27"/>
      <c r="C662" s="27"/>
      <c r="D662" s="27"/>
      <c r="E662" s="27"/>
      <c r="F662" s="27"/>
      <c r="G662" s="27"/>
      <c r="H662" s="7" t="n">
        <f aca="false">IFERROR(IF(D662="JPY",E662*$I$3,IF(D662="USD",E662*$J$3,E662)),"")</f>
        <v>0</v>
      </c>
    </row>
    <row r="663" customFormat="false" ht="15" hidden="false" customHeight="false" outlineLevel="0" collapsed="false">
      <c r="A663" s="27"/>
      <c r="B663" s="27"/>
      <c r="C663" s="27"/>
      <c r="D663" s="27"/>
      <c r="E663" s="27"/>
      <c r="F663" s="27"/>
      <c r="G663" s="27"/>
      <c r="H663" s="7" t="n">
        <f aca="false">IFERROR(IF(D663="JPY",E663*$I$3,IF(D663="USD",E663*$J$3,E663)),"")</f>
        <v>0</v>
      </c>
    </row>
    <row r="664" customFormat="false" ht="15" hidden="false" customHeight="false" outlineLevel="0" collapsed="false">
      <c r="A664" s="27"/>
      <c r="B664" s="27"/>
      <c r="C664" s="27"/>
      <c r="D664" s="27"/>
      <c r="E664" s="27"/>
      <c r="F664" s="27"/>
      <c r="G664" s="27"/>
      <c r="H664" s="7" t="n">
        <f aca="false">IFERROR(IF(D664="JPY",E664*$I$3,IF(D664="USD",E664*$J$3,E664)),"")</f>
        <v>0</v>
      </c>
    </row>
    <row r="665" customFormat="false" ht="15" hidden="false" customHeight="false" outlineLevel="0" collapsed="false">
      <c r="A665" s="27"/>
      <c r="B665" s="27"/>
      <c r="C665" s="27"/>
      <c r="D665" s="27"/>
      <c r="E665" s="27"/>
      <c r="F665" s="27"/>
      <c r="G665" s="27"/>
      <c r="H665" s="7" t="n">
        <f aca="false">IFERROR(IF(D665="JPY",E665*$I$3,IF(D665="USD",E665*$J$3,E665)),"")</f>
        <v>0</v>
      </c>
    </row>
    <row r="666" customFormat="false" ht="15" hidden="false" customHeight="false" outlineLevel="0" collapsed="false">
      <c r="A666" s="27"/>
      <c r="B666" s="27"/>
      <c r="C666" s="27"/>
      <c r="D666" s="27"/>
      <c r="E666" s="27"/>
      <c r="F666" s="27"/>
      <c r="G666" s="27"/>
      <c r="H666" s="7" t="n">
        <f aca="false">IFERROR(IF(D666="JPY",E666*$I$3,IF(D666="USD",E666*$J$3,E666)),"")</f>
        <v>0</v>
      </c>
    </row>
    <row r="667" customFormat="false" ht="15" hidden="false" customHeight="false" outlineLevel="0" collapsed="false">
      <c r="A667" s="27"/>
      <c r="B667" s="27"/>
      <c r="C667" s="27"/>
      <c r="D667" s="27"/>
      <c r="E667" s="27"/>
      <c r="F667" s="27"/>
      <c r="G667" s="27"/>
      <c r="H667" s="7" t="n">
        <f aca="false">IFERROR(IF(D667="JPY",E667*$I$3,IF(D667="USD",E667*$J$3,E667)),"")</f>
        <v>0</v>
      </c>
    </row>
    <row r="668" customFormat="false" ht="15" hidden="false" customHeight="false" outlineLevel="0" collapsed="false">
      <c r="A668" s="27"/>
      <c r="B668" s="27"/>
      <c r="C668" s="27"/>
      <c r="D668" s="27"/>
      <c r="E668" s="27"/>
      <c r="F668" s="27"/>
      <c r="G668" s="27"/>
      <c r="H668" s="7" t="n">
        <f aca="false">IFERROR(IF(D668="JPY",E668*$I$3,IF(D668="USD",E668*$J$3,E668)),"")</f>
        <v>0</v>
      </c>
    </row>
    <row r="669" customFormat="false" ht="15" hidden="false" customHeight="false" outlineLevel="0" collapsed="false">
      <c r="A669" s="27"/>
      <c r="B669" s="27"/>
      <c r="C669" s="27"/>
      <c r="D669" s="27"/>
      <c r="E669" s="27"/>
      <c r="F669" s="27"/>
      <c r="G669" s="27"/>
      <c r="H669" s="7" t="n">
        <f aca="false">IFERROR(IF(D669="JPY",E669*$I$3,IF(D669="USD",E669*$J$3,E669)),"")</f>
        <v>0</v>
      </c>
    </row>
    <row r="670" customFormat="false" ht="15" hidden="false" customHeight="false" outlineLevel="0" collapsed="false">
      <c r="A670" s="27"/>
      <c r="B670" s="27"/>
      <c r="C670" s="27"/>
      <c r="D670" s="27"/>
      <c r="E670" s="27"/>
      <c r="F670" s="27"/>
      <c r="G670" s="27"/>
      <c r="H670" s="7" t="n">
        <f aca="false">IFERROR(IF(D670="JPY",E670*$I$3,IF(D670="USD",E670*$J$3,E670)),"")</f>
        <v>0</v>
      </c>
    </row>
    <row r="671" customFormat="false" ht="15" hidden="false" customHeight="false" outlineLevel="0" collapsed="false">
      <c r="A671" s="27"/>
      <c r="B671" s="27"/>
      <c r="C671" s="27"/>
      <c r="D671" s="27"/>
      <c r="E671" s="27"/>
      <c r="F671" s="27"/>
      <c r="G671" s="27"/>
      <c r="H671" s="7" t="n">
        <f aca="false">IFERROR(IF(D671="JPY",E671*$I$3,IF(D671="USD",E671*$J$3,E671)),"")</f>
        <v>0</v>
      </c>
    </row>
    <row r="672" customFormat="false" ht="15" hidden="false" customHeight="false" outlineLevel="0" collapsed="false">
      <c r="A672" s="27"/>
      <c r="B672" s="27"/>
      <c r="C672" s="27"/>
      <c r="D672" s="27"/>
      <c r="E672" s="27"/>
      <c r="F672" s="27"/>
      <c r="G672" s="27"/>
      <c r="H672" s="7" t="n">
        <f aca="false">IFERROR(IF(D672="JPY",E672*$I$3,IF(D672="USD",E672*$J$3,E672)),"")</f>
        <v>0</v>
      </c>
    </row>
    <row r="673" customFormat="false" ht="15" hidden="false" customHeight="false" outlineLevel="0" collapsed="false">
      <c r="A673" s="27"/>
      <c r="B673" s="27"/>
      <c r="C673" s="27"/>
      <c r="D673" s="27"/>
      <c r="E673" s="27"/>
      <c r="F673" s="27"/>
      <c r="G673" s="27"/>
      <c r="H673" s="7" t="n">
        <f aca="false">IFERROR(IF(D673="JPY",E673*$I$3,IF(D673="USD",E673*$J$3,E673)),"")</f>
        <v>0</v>
      </c>
    </row>
    <row r="674" customFormat="false" ht="15" hidden="false" customHeight="false" outlineLevel="0" collapsed="false">
      <c r="A674" s="27"/>
      <c r="B674" s="27"/>
      <c r="C674" s="27"/>
      <c r="D674" s="27"/>
      <c r="E674" s="27"/>
      <c r="F674" s="27"/>
      <c r="G674" s="27"/>
      <c r="H674" s="7" t="n">
        <f aca="false">IFERROR(IF(D674="JPY",E674*$I$3,IF(D674="USD",E674*$J$3,E674)),"")</f>
        <v>0</v>
      </c>
    </row>
    <row r="675" customFormat="false" ht="15" hidden="false" customHeight="false" outlineLevel="0" collapsed="false">
      <c r="A675" s="27"/>
      <c r="B675" s="27"/>
      <c r="C675" s="27"/>
      <c r="D675" s="27"/>
      <c r="E675" s="27"/>
      <c r="F675" s="27"/>
      <c r="G675" s="27"/>
      <c r="H675" s="7" t="n">
        <f aca="false">IFERROR(IF(D675="JPY",E675*$I$3,IF(D675="USD",E675*$J$3,E675)),"")</f>
        <v>0</v>
      </c>
    </row>
    <row r="676" customFormat="false" ht="15" hidden="false" customHeight="false" outlineLevel="0" collapsed="false">
      <c r="A676" s="27"/>
      <c r="B676" s="27"/>
      <c r="C676" s="27"/>
      <c r="D676" s="27"/>
      <c r="E676" s="27"/>
      <c r="F676" s="27"/>
      <c r="G676" s="27"/>
      <c r="H676" s="7" t="n">
        <f aca="false">IFERROR(IF(D676="JPY",E676*$I$3,IF(D676="USD",E676*$J$3,E676)),"")</f>
        <v>0</v>
      </c>
    </row>
    <row r="677" customFormat="false" ht="15" hidden="false" customHeight="false" outlineLevel="0" collapsed="false">
      <c r="A677" s="27"/>
      <c r="B677" s="27"/>
      <c r="C677" s="27"/>
      <c r="D677" s="27"/>
      <c r="E677" s="27"/>
      <c r="F677" s="27"/>
      <c r="G677" s="27"/>
      <c r="H677" s="7" t="n">
        <f aca="false">IFERROR(IF(D677="JPY",E677*$I$3,IF(D677="USD",E677*$J$3,E677)),"")</f>
        <v>0</v>
      </c>
    </row>
    <row r="678" customFormat="false" ht="15" hidden="false" customHeight="false" outlineLevel="0" collapsed="false">
      <c r="A678" s="27"/>
      <c r="B678" s="27"/>
      <c r="C678" s="27"/>
      <c r="D678" s="27"/>
      <c r="E678" s="27"/>
      <c r="F678" s="27"/>
      <c r="G678" s="27"/>
      <c r="H678" s="7" t="n">
        <f aca="false">IFERROR(IF(D678="JPY",E678*$I$3,IF(D678="USD",E678*$J$3,E678)),"")</f>
        <v>0</v>
      </c>
    </row>
    <row r="679" customFormat="false" ht="15" hidden="false" customHeight="false" outlineLevel="0" collapsed="false">
      <c r="A679" s="27"/>
      <c r="B679" s="27"/>
      <c r="C679" s="27"/>
      <c r="D679" s="27"/>
      <c r="E679" s="27"/>
      <c r="F679" s="27"/>
      <c r="G679" s="27"/>
      <c r="H679" s="7" t="n">
        <f aca="false">IFERROR(IF(D679="JPY",E679*$I$3,IF(D679="USD",E679*$J$3,E679)),"")</f>
        <v>0</v>
      </c>
    </row>
    <row r="680" customFormat="false" ht="15" hidden="false" customHeight="false" outlineLevel="0" collapsed="false">
      <c r="A680" s="27"/>
      <c r="B680" s="27"/>
      <c r="C680" s="27"/>
      <c r="D680" s="27"/>
      <c r="E680" s="27"/>
      <c r="F680" s="27"/>
      <c r="G680" s="27"/>
      <c r="H680" s="7" t="n">
        <f aca="false">IFERROR(IF(D680="JPY",E680*$I$3,IF(D680="USD",E680*$J$3,E680)),"")</f>
        <v>0</v>
      </c>
    </row>
    <row r="681" customFormat="false" ht="15" hidden="false" customHeight="false" outlineLevel="0" collapsed="false">
      <c r="A681" s="27"/>
      <c r="B681" s="27"/>
      <c r="C681" s="27"/>
      <c r="D681" s="27"/>
      <c r="E681" s="27"/>
      <c r="F681" s="27"/>
      <c r="G681" s="27"/>
      <c r="H681" s="7" t="n">
        <f aca="false">IFERROR(IF(D681="JPY",E681*$I$3,IF(D681="USD",E681*$J$3,E681)),"")</f>
        <v>0</v>
      </c>
    </row>
    <row r="682" customFormat="false" ht="15" hidden="false" customHeight="false" outlineLevel="0" collapsed="false">
      <c r="A682" s="27"/>
      <c r="B682" s="27"/>
      <c r="C682" s="27"/>
      <c r="D682" s="27"/>
      <c r="E682" s="27"/>
      <c r="F682" s="27"/>
      <c r="G682" s="27"/>
      <c r="H682" s="7" t="n">
        <f aca="false">IFERROR(IF(D682="JPY",E682*$I$3,IF(D682="USD",E682*$J$3,E682)),"")</f>
        <v>0</v>
      </c>
    </row>
    <row r="683" customFormat="false" ht="15" hidden="false" customHeight="false" outlineLevel="0" collapsed="false">
      <c r="A683" s="27"/>
      <c r="B683" s="27"/>
      <c r="C683" s="27"/>
      <c r="D683" s="27"/>
      <c r="E683" s="27"/>
      <c r="F683" s="27"/>
      <c r="G683" s="27"/>
      <c r="H683" s="7" t="n">
        <f aca="false">IFERROR(IF(D683="JPY",E683*$I$3,IF(D683="USD",E683*$J$3,E683)),"")</f>
        <v>0</v>
      </c>
    </row>
    <row r="684" customFormat="false" ht="15" hidden="false" customHeight="false" outlineLevel="0" collapsed="false">
      <c r="A684" s="27"/>
      <c r="B684" s="27"/>
      <c r="C684" s="27"/>
      <c r="D684" s="27"/>
      <c r="E684" s="27"/>
      <c r="F684" s="27"/>
      <c r="G684" s="27"/>
      <c r="H684" s="7" t="n">
        <f aca="false">IFERROR(IF(D684="JPY",E684*$I$3,IF(D684="USD",E684*$J$3,E684)),"")</f>
        <v>0</v>
      </c>
    </row>
    <row r="685" customFormat="false" ht="15" hidden="false" customHeight="false" outlineLevel="0" collapsed="false">
      <c r="A685" s="27"/>
      <c r="B685" s="27"/>
      <c r="C685" s="27"/>
      <c r="D685" s="27"/>
      <c r="E685" s="27"/>
      <c r="F685" s="27"/>
      <c r="G685" s="27"/>
      <c r="H685" s="7" t="n">
        <f aca="false">IFERROR(IF(D685="JPY",E685*$I$3,IF(D685="USD",E685*$J$3,E685)),"")</f>
        <v>0</v>
      </c>
    </row>
    <row r="686" customFormat="false" ht="15" hidden="false" customHeight="false" outlineLevel="0" collapsed="false">
      <c r="A686" s="27"/>
      <c r="B686" s="27"/>
      <c r="C686" s="27"/>
      <c r="D686" s="27"/>
      <c r="E686" s="27"/>
      <c r="F686" s="27"/>
      <c r="G686" s="27"/>
      <c r="H686" s="7" t="n">
        <f aca="false">IFERROR(IF(D686="JPY",E686*$I$3,IF(D686="USD",E686*$J$3,E686)),"")</f>
        <v>0</v>
      </c>
    </row>
    <row r="687" customFormat="false" ht="15" hidden="false" customHeight="false" outlineLevel="0" collapsed="false">
      <c r="A687" s="27"/>
      <c r="B687" s="27"/>
      <c r="C687" s="27"/>
      <c r="D687" s="27"/>
      <c r="E687" s="27"/>
      <c r="F687" s="27"/>
      <c r="G687" s="27"/>
      <c r="H687" s="7" t="n">
        <f aca="false">IFERROR(IF(D687="JPY",E687*$I$3,IF(D687="USD",E687*$J$3,E687)),"")</f>
        <v>0</v>
      </c>
    </row>
    <row r="688" customFormat="false" ht="15" hidden="false" customHeight="false" outlineLevel="0" collapsed="false">
      <c r="A688" s="27"/>
      <c r="B688" s="27"/>
      <c r="C688" s="27"/>
      <c r="D688" s="27"/>
      <c r="E688" s="27"/>
      <c r="F688" s="27"/>
      <c r="G688" s="27"/>
      <c r="H688" s="7" t="n">
        <f aca="false">IFERROR(IF(D688="JPY",E688*$I$3,IF(D688="USD",E688*$J$3,E688)),"")</f>
        <v>0</v>
      </c>
    </row>
    <row r="689" customFormat="false" ht="15" hidden="false" customHeight="false" outlineLevel="0" collapsed="false">
      <c r="A689" s="27"/>
      <c r="B689" s="27"/>
      <c r="C689" s="27"/>
      <c r="D689" s="27"/>
      <c r="E689" s="27"/>
      <c r="F689" s="27"/>
      <c r="G689" s="27"/>
      <c r="H689" s="7" t="n">
        <f aca="false">IFERROR(IF(D689="JPY",E689*$I$3,IF(D689="USD",E689*$J$3,E689)),"")</f>
        <v>0</v>
      </c>
    </row>
    <row r="690" customFormat="false" ht="15" hidden="false" customHeight="false" outlineLevel="0" collapsed="false">
      <c r="A690" s="27"/>
      <c r="B690" s="27"/>
      <c r="C690" s="27"/>
      <c r="D690" s="27"/>
      <c r="E690" s="27"/>
      <c r="F690" s="27"/>
      <c r="G690" s="27"/>
      <c r="H690" s="7" t="n">
        <f aca="false">IFERROR(IF(D690="JPY",E690*$I$3,IF(D690="USD",E690*$J$3,E690)),"")</f>
        <v>0</v>
      </c>
    </row>
    <row r="691" customFormat="false" ht="15" hidden="false" customHeight="false" outlineLevel="0" collapsed="false">
      <c r="A691" s="27"/>
      <c r="B691" s="27"/>
      <c r="C691" s="27"/>
      <c r="D691" s="27"/>
      <c r="E691" s="27"/>
      <c r="F691" s="27"/>
      <c r="G691" s="27"/>
      <c r="H691" s="7" t="n">
        <f aca="false">IFERROR(IF(D691="JPY",E691*$I$3,IF(D691="USD",E691*$J$3,E691)),"")</f>
        <v>0</v>
      </c>
    </row>
    <row r="692" customFormat="false" ht="15" hidden="false" customHeight="false" outlineLevel="0" collapsed="false">
      <c r="A692" s="27"/>
      <c r="B692" s="27"/>
      <c r="C692" s="27"/>
      <c r="D692" s="27"/>
      <c r="E692" s="27"/>
      <c r="F692" s="27"/>
      <c r="G692" s="27"/>
      <c r="H692" s="7" t="n">
        <f aca="false">IFERROR(IF(D692="JPY",E692*$I$3,IF(D692="USD",E692*$J$3,E692)),"")</f>
        <v>0</v>
      </c>
    </row>
    <row r="693" customFormat="false" ht="15" hidden="false" customHeight="false" outlineLevel="0" collapsed="false">
      <c r="A693" s="27"/>
      <c r="B693" s="27"/>
      <c r="C693" s="27"/>
      <c r="D693" s="27"/>
      <c r="E693" s="27"/>
      <c r="F693" s="27"/>
      <c r="G693" s="27"/>
      <c r="H693" s="7" t="n">
        <f aca="false">IFERROR(IF(D693="JPY",E693*$I$3,IF(D693="USD",E693*$J$3,E693)),"")</f>
        <v>0</v>
      </c>
    </row>
    <row r="694" customFormat="false" ht="15" hidden="false" customHeight="false" outlineLevel="0" collapsed="false">
      <c r="A694" s="27"/>
      <c r="B694" s="27"/>
      <c r="C694" s="27"/>
      <c r="D694" s="27"/>
      <c r="E694" s="27"/>
      <c r="F694" s="27"/>
      <c r="G694" s="27"/>
      <c r="H694" s="7" t="n">
        <f aca="false">IFERROR(IF(D694="JPY",E694*$I$3,IF(D694="USD",E694*$J$3,E694)),"")</f>
        <v>0</v>
      </c>
    </row>
    <row r="695" customFormat="false" ht="15" hidden="false" customHeight="false" outlineLevel="0" collapsed="false">
      <c r="A695" s="27"/>
      <c r="B695" s="27"/>
      <c r="C695" s="27"/>
      <c r="D695" s="27"/>
      <c r="E695" s="27"/>
      <c r="F695" s="27"/>
      <c r="G695" s="27"/>
      <c r="H695" s="7" t="n">
        <f aca="false">IFERROR(IF(D695="JPY",E695*$I$3,IF(D695="USD",E695*$J$3,E695)),"")</f>
        <v>0</v>
      </c>
    </row>
    <row r="696" customFormat="false" ht="15" hidden="false" customHeight="false" outlineLevel="0" collapsed="false">
      <c r="A696" s="27"/>
      <c r="B696" s="27"/>
      <c r="C696" s="27"/>
      <c r="D696" s="27"/>
      <c r="E696" s="27"/>
      <c r="F696" s="27"/>
      <c r="G696" s="27"/>
      <c r="H696" s="7" t="n">
        <f aca="false">IFERROR(IF(D696="JPY",E696*$I$3,IF(D696="USD",E696*$J$3,E696)),"")</f>
        <v>0</v>
      </c>
    </row>
    <row r="697" customFormat="false" ht="15" hidden="false" customHeight="false" outlineLevel="0" collapsed="false">
      <c r="A697" s="27"/>
      <c r="B697" s="27"/>
      <c r="C697" s="27"/>
      <c r="D697" s="27"/>
      <c r="E697" s="27"/>
      <c r="F697" s="27"/>
      <c r="G697" s="27"/>
      <c r="H697" s="7" t="n">
        <f aca="false">IFERROR(IF(D697="JPY",E697*$I$3,IF(D697="USD",E697*$J$3,E697)),"")</f>
        <v>0</v>
      </c>
    </row>
    <row r="698" customFormat="false" ht="15" hidden="false" customHeight="false" outlineLevel="0" collapsed="false">
      <c r="A698" s="27"/>
      <c r="B698" s="27"/>
      <c r="C698" s="27"/>
      <c r="D698" s="27"/>
      <c r="E698" s="27"/>
      <c r="F698" s="27"/>
      <c r="G698" s="27"/>
      <c r="H698" s="7" t="n">
        <f aca="false">IFERROR(IF(D698="JPY",E698*$I$3,IF(D698="USD",E698*$J$3,E698)),"")</f>
        <v>0</v>
      </c>
    </row>
    <row r="699" customFormat="false" ht="15" hidden="false" customHeight="false" outlineLevel="0" collapsed="false">
      <c r="A699" s="27"/>
      <c r="B699" s="27"/>
      <c r="C699" s="27"/>
      <c r="D699" s="27"/>
      <c r="E699" s="27"/>
      <c r="F699" s="27"/>
      <c r="G699" s="27"/>
      <c r="H699" s="7" t="n">
        <f aca="false">IFERROR(IF(D699="JPY",E699*$I$3,IF(D699="USD",E699*$J$3,E699)),"")</f>
        <v>0</v>
      </c>
    </row>
    <row r="700" customFormat="false" ht="15" hidden="false" customHeight="false" outlineLevel="0" collapsed="false">
      <c r="A700" s="27"/>
      <c r="B700" s="27"/>
      <c r="C700" s="27"/>
      <c r="D700" s="27"/>
      <c r="E700" s="27"/>
      <c r="F700" s="27"/>
      <c r="G700" s="27"/>
      <c r="H700" s="7" t="n">
        <f aca="false">IFERROR(IF(D700="JPY",E700*$I$3,IF(D700="USD",E700*$J$3,E700)),"")</f>
        <v>0</v>
      </c>
    </row>
    <row r="701" customFormat="false" ht="15" hidden="false" customHeight="false" outlineLevel="0" collapsed="false">
      <c r="A701" s="27"/>
      <c r="B701" s="27"/>
      <c r="C701" s="27"/>
      <c r="D701" s="27"/>
      <c r="E701" s="27"/>
      <c r="F701" s="27"/>
      <c r="G701" s="27"/>
      <c r="H701" s="7" t="n">
        <f aca="false">IFERROR(IF(D701="JPY",E701*$I$3,IF(D701="USD",E701*$J$3,E701)),"")</f>
        <v>0</v>
      </c>
    </row>
    <row r="702" customFormat="false" ht="15" hidden="false" customHeight="false" outlineLevel="0" collapsed="false">
      <c r="A702" s="27"/>
      <c r="B702" s="27"/>
      <c r="C702" s="27"/>
      <c r="D702" s="27"/>
      <c r="E702" s="27"/>
      <c r="F702" s="27"/>
      <c r="G702" s="27"/>
      <c r="H702" s="7" t="n">
        <f aca="false">IFERROR(IF(D702="JPY",E702*$I$3,IF(D702="USD",E702*$J$3,E702)),"")</f>
        <v>0</v>
      </c>
    </row>
    <row r="703" customFormat="false" ht="15" hidden="false" customHeight="false" outlineLevel="0" collapsed="false">
      <c r="A703" s="27"/>
      <c r="B703" s="27"/>
      <c r="C703" s="27"/>
      <c r="D703" s="27"/>
      <c r="E703" s="27"/>
      <c r="F703" s="27"/>
      <c r="G703" s="27"/>
      <c r="H703" s="7" t="n">
        <f aca="false">IFERROR(IF(D703="JPY",E703*$I$3,IF(D703="USD",E703*$J$3,E703)),"")</f>
        <v>0</v>
      </c>
    </row>
    <row r="704" customFormat="false" ht="15" hidden="false" customHeight="false" outlineLevel="0" collapsed="false">
      <c r="A704" s="27"/>
      <c r="B704" s="27"/>
      <c r="C704" s="27"/>
      <c r="D704" s="27"/>
      <c r="E704" s="27"/>
      <c r="F704" s="27"/>
      <c r="G704" s="27"/>
      <c r="H704" s="7" t="n">
        <f aca="false">IFERROR(IF(D704="JPY",E704*$I$3,IF(D704="USD",E704*$J$3,E704)),"")</f>
        <v>0</v>
      </c>
    </row>
    <row r="705" customFormat="false" ht="15" hidden="false" customHeight="false" outlineLevel="0" collapsed="false">
      <c r="A705" s="27"/>
      <c r="B705" s="27"/>
      <c r="C705" s="27"/>
      <c r="D705" s="27"/>
      <c r="E705" s="27"/>
      <c r="F705" s="27"/>
      <c r="G705" s="27"/>
      <c r="H705" s="7" t="n">
        <f aca="false">IFERROR(IF(D705="JPY",E705*$I$3,IF(D705="USD",E705*$J$3,E705)),"")</f>
        <v>0</v>
      </c>
    </row>
    <row r="706" customFormat="false" ht="15" hidden="false" customHeight="false" outlineLevel="0" collapsed="false">
      <c r="A706" s="27"/>
      <c r="B706" s="27"/>
      <c r="C706" s="27"/>
      <c r="D706" s="27"/>
      <c r="E706" s="27"/>
      <c r="F706" s="27"/>
      <c r="G706" s="27"/>
      <c r="H706" s="7" t="n">
        <f aca="false">IFERROR(IF(D706="JPY",E706*$I$3,IF(D706="USD",E706*$J$3,E706)),"")</f>
        <v>0</v>
      </c>
    </row>
    <row r="707" customFormat="false" ht="15" hidden="false" customHeight="false" outlineLevel="0" collapsed="false">
      <c r="A707" s="27"/>
      <c r="B707" s="27"/>
      <c r="C707" s="27"/>
      <c r="D707" s="27"/>
      <c r="E707" s="27"/>
      <c r="F707" s="27"/>
      <c r="G707" s="27"/>
      <c r="H707" s="7" t="n">
        <f aca="false">IFERROR(IF(D707="JPY",E707*$I$3,IF(D707="USD",E707*$J$3,E707)),"")</f>
        <v>0</v>
      </c>
    </row>
    <row r="708" customFormat="false" ht="15" hidden="false" customHeight="false" outlineLevel="0" collapsed="false">
      <c r="A708" s="27"/>
      <c r="B708" s="27"/>
      <c r="C708" s="27"/>
      <c r="D708" s="27"/>
      <c r="E708" s="27"/>
      <c r="F708" s="27"/>
      <c r="G708" s="27"/>
      <c r="H708" s="7" t="n">
        <f aca="false">IFERROR(IF(D708="JPY",E708*$I$3,IF(D708="USD",E708*$J$3,E708)),"")</f>
        <v>0</v>
      </c>
    </row>
    <row r="709" customFormat="false" ht="15" hidden="false" customHeight="false" outlineLevel="0" collapsed="false">
      <c r="A709" s="27"/>
      <c r="B709" s="27"/>
      <c r="C709" s="27"/>
      <c r="D709" s="27"/>
      <c r="E709" s="27"/>
      <c r="F709" s="27"/>
      <c r="G709" s="27"/>
      <c r="H709" s="7" t="n">
        <f aca="false">IFERROR(IF(D709="JPY",E709*$I$3,IF(D709="USD",E709*$J$3,E709)),"")</f>
        <v>0</v>
      </c>
    </row>
    <row r="710" customFormat="false" ht="15" hidden="false" customHeight="false" outlineLevel="0" collapsed="false">
      <c r="A710" s="27"/>
      <c r="B710" s="27"/>
      <c r="C710" s="27"/>
      <c r="D710" s="27"/>
      <c r="E710" s="27"/>
      <c r="F710" s="27"/>
      <c r="G710" s="27"/>
      <c r="H710" s="7" t="n">
        <f aca="false">IFERROR(IF(D710="JPY",E710*$I$3,IF(D710="USD",E710*$J$3,E710)),"")</f>
        <v>0</v>
      </c>
    </row>
    <row r="711" customFormat="false" ht="15" hidden="false" customHeight="false" outlineLevel="0" collapsed="false">
      <c r="A711" s="27"/>
      <c r="B711" s="27"/>
      <c r="C711" s="27"/>
      <c r="D711" s="27"/>
      <c r="E711" s="27"/>
      <c r="F711" s="27"/>
      <c r="G711" s="27"/>
      <c r="H711" s="7" t="n">
        <f aca="false">IFERROR(IF(D711="JPY",E711*$I$3,IF(D711="USD",E711*$J$3,E711)),"")</f>
        <v>0</v>
      </c>
    </row>
    <row r="712" customFormat="false" ht="15" hidden="false" customHeight="false" outlineLevel="0" collapsed="false">
      <c r="A712" s="27"/>
      <c r="B712" s="27"/>
      <c r="C712" s="27"/>
      <c r="D712" s="27"/>
      <c r="E712" s="27"/>
      <c r="F712" s="27"/>
      <c r="G712" s="27"/>
      <c r="H712" s="7" t="n">
        <f aca="false">IFERROR(IF(D712="JPY",E712*$I$3,IF(D712="USD",E712*$J$3,E712)),"")</f>
        <v>0</v>
      </c>
    </row>
    <row r="713" customFormat="false" ht="15" hidden="false" customHeight="false" outlineLevel="0" collapsed="false">
      <c r="A713" s="27"/>
      <c r="B713" s="27"/>
      <c r="C713" s="27"/>
      <c r="D713" s="27"/>
      <c r="E713" s="27"/>
      <c r="F713" s="27"/>
      <c r="G713" s="27"/>
      <c r="H713" s="7" t="n">
        <f aca="false">IFERROR(IF(D713="JPY",E713*$I$3,IF(D713="USD",E713*$J$3,E713)),"")</f>
        <v>0</v>
      </c>
    </row>
    <row r="714" customFormat="false" ht="15" hidden="false" customHeight="false" outlineLevel="0" collapsed="false">
      <c r="A714" s="27"/>
      <c r="B714" s="27"/>
      <c r="C714" s="27"/>
      <c r="D714" s="27"/>
      <c r="E714" s="27"/>
      <c r="F714" s="27"/>
      <c r="G714" s="27"/>
      <c r="H714" s="7" t="n">
        <f aca="false">IFERROR(IF(D714="JPY",E714*$I$3,IF(D714="USD",E714*$J$3,E714)),"")</f>
        <v>0</v>
      </c>
    </row>
    <row r="715" customFormat="false" ht="15" hidden="false" customHeight="false" outlineLevel="0" collapsed="false">
      <c r="A715" s="27"/>
      <c r="B715" s="27"/>
      <c r="C715" s="27"/>
      <c r="D715" s="27"/>
      <c r="E715" s="27"/>
      <c r="F715" s="27"/>
      <c r="G715" s="27"/>
      <c r="H715" s="7" t="n">
        <f aca="false">IFERROR(IF(D715="JPY",E715*$I$3,IF(D715="USD",E715*$J$3,E715)),"")</f>
        <v>0</v>
      </c>
    </row>
    <row r="716" customFormat="false" ht="15" hidden="false" customHeight="false" outlineLevel="0" collapsed="false">
      <c r="A716" s="27"/>
      <c r="B716" s="27"/>
      <c r="C716" s="27"/>
      <c r="D716" s="27"/>
      <c r="E716" s="27"/>
      <c r="F716" s="27"/>
      <c r="G716" s="27"/>
      <c r="H716" s="7" t="n">
        <f aca="false">IFERROR(IF(D716="JPY",E716*$I$3,IF(D716="USD",E716*$J$3,E716)),"")</f>
        <v>0</v>
      </c>
    </row>
    <row r="717" customFormat="false" ht="15" hidden="false" customHeight="false" outlineLevel="0" collapsed="false">
      <c r="A717" s="27"/>
      <c r="B717" s="27"/>
      <c r="C717" s="27"/>
      <c r="D717" s="27"/>
      <c r="E717" s="27"/>
      <c r="F717" s="27"/>
      <c r="G717" s="27"/>
      <c r="H717" s="7" t="n">
        <f aca="false">IFERROR(IF(D717="JPY",E717*$I$3,IF(D717="USD",E717*$J$3,E717)),"")</f>
        <v>0</v>
      </c>
    </row>
    <row r="718" customFormat="false" ht="15" hidden="false" customHeight="false" outlineLevel="0" collapsed="false">
      <c r="A718" s="27"/>
      <c r="B718" s="27"/>
      <c r="C718" s="27"/>
      <c r="D718" s="27"/>
      <c r="E718" s="27"/>
      <c r="F718" s="27"/>
      <c r="G718" s="27"/>
      <c r="H718" s="7" t="n">
        <f aca="false">IFERROR(IF(D718="JPY",E718*$I$3,IF(D718="USD",E718*$J$3,E718)),"")</f>
        <v>0</v>
      </c>
    </row>
    <row r="719" customFormat="false" ht="15" hidden="false" customHeight="false" outlineLevel="0" collapsed="false">
      <c r="A719" s="27"/>
      <c r="B719" s="27"/>
      <c r="C719" s="27"/>
      <c r="D719" s="27"/>
      <c r="E719" s="27"/>
      <c r="F719" s="27"/>
      <c r="G719" s="27"/>
      <c r="H719" s="7" t="n">
        <f aca="false">IFERROR(IF(D719="JPY",E719*$I$3,IF(D719="USD",E719*$J$3,E719)),"")</f>
        <v>0</v>
      </c>
    </row>
    <row r="720" customFormat="false" ht="15" hidden="false" customHeight="false" outlineLevel="0" collapsed="false">
      <c r="A720" s="27"/>
      <c r="B720" s="27"/>
      <c r="C720" s="27"/>
      <c r="D720" s="27"/>
      <c r="E720" s="27"/>
      <c r="F720" s="27"/>
      <c r="G720" s="27"/>
      <c r="H720" s="7" t="n">
        <f aca="false">IFERROR(IF(D720="JPY",E720*$I$3,IF(D720="USD",E720*$J$3,E720)),"")</f>
        <v>0</v>
      </c>
    </row>
    <row r="721" customFormat="false" ht="15" hidden="false" customHeight="false" outlineLevel="0" collapsed="false">
      <c r="A721" s="27"/>
      <c r="B721" s="27"/>
      <c r="C721" s="27"/>
      <c r="D721" s="27"/>
      <c r="E721" s="27"/>
      <c r="F721" s="27"/>
      <c r="G721" s="27"/>
      <c r="H721" s="7" t="n">
        <f aca="false">IFERROR(IF(D721="JPY",E721*$I$3,IF(D721="USD",E721*$J$3,E721)),"")</f>
        <v>0</v>
      </c>
    </row>
    <row r="722" customFormat="false" ht="15" hidden="false" customHeight="false" outlineLevel="0" collapsed="false">
      <c r="A722" s="27"/>
      <c r="B722" s="27"/>
      <c r="C722" s="27"/>
      <c r="D722" s="27"/>
      <c r="E722" s="27"/>
      <c r="F722" s="27"/>
      <c r="G722" s="27"/>
      <c r="H722" s="7" t="n">
        <f aca="false">IFERROR(IF(D722="JPY",E722*$I$3,IF(D722="USD",E722*$J$3,E722)),"")</f>
        <v>0</v>
      </c>
    </row>
    <row r="723" customFormat="false" ht="15" hidden="false" customHeight="false" outlineLevel="0" collapsed="false">
      <c r="A723" s="27"/>
      <c r="B723" s="27"/>
      <c r="C723" s="27"/>
      <c r="D723" s="27"/>
      <c r="E723" s="27"/>
      <c r="F723" s="27"/>
      <c r="G723" s="27"/>
      <c r="H723" s="7" t="n">
        <f aca="false">IFERROR(IF(D723="JPY",E723*$I$3,IF(D723="USD",E723*$J$3,E723)),"")</f>
        <v>0</v>
      </c>
    </row>
    <row r="724" customFormat="false" ht="15" hidden="false" customHeight="false" outlineLevel="0" collapsed="false">
      <c r="A724" s="27"/>
      <c r="B724" s="27"/>
      <c r="C724" s="27"/>
      <c r="D724" s="27"/>
      <c r="E724" s="27"/>
      <c r="F724" s="27"/>
      <c r="G724" s="27"/>
      <c r="H724" s="7" t="n">
        <f aca="false">IFERROR(IF(D724="JPY",E724*$I$3,IF(D724="USD",E724*$J$3,E724)),"")</f>
        <v>0</v>
      </c>
    </row>
    <row r="725" customFormat="false" ht="15" hidden="false" customHeight="false" outlineLevel="0" collapsed="false">
      <c r="A725" s="27"/>
      <c r="B725" s="27"/>
      <c r="C725" s="27"/>
      <c r="D725" s="27"/>
      <c r="E725" s="27"/>
      <c r="F725" s="27"/>
      <c r="G725" s="27"/>
      <c r="H725" s="7" t="n">
        <f aca="false">IFERROR(IF(D725="JPY",E725*$I$3,IF(D725="USD",E725*$J$3,E725)),"")</f>
        <v>0</v>
      </c>
    </row>
    <row r="726" customFormat="false" ht="15" hidden="false" customHeight="false" outlineLevel="0" collapsed="false">
      <c r="A726" s="27"/>
      <c r="B726" s="27"/>
      <c r="C726" s="27"/>
      <c r="D726" s="27"/>
      <c r="E726" s="27"/>
      <c r="F726" s="27"/>
      <c r="G726" s="27"/>
      <c r="H726" s="7" t="n">
        <f aca="false">IFERROR(IF(D726="JPY",E726*$I$3,IF(D726="USD",E726*$J$3,E726)),"")</f>
        <v>0</v>
      </c>
    </row>
    <row r="727" customFormat="false" ht="15" hidden="false" customHeight="false" outlineLevel="0" collapsed="false">
      <c r="A727" s="27"/>
      <c r="B727" s="27"/>
      <c r="C727" s="27"/>
      <c r="D727" s="27"/>
      <c r="E727" s="27"/>
      <c r="F727" s="27"/>
      <c r="G727" s="27"/>
      <c r="H727" s="7" t="n">
        <f aca="false">IFERROR(IF(D727="JPY",E727*$I$3,IF(D727="USD",E727*$J$3,E727)),"")</f>
        <v>0</v>
      </c>
    </row>
    <row r="728" customFormat="false" ht="15" hidden="false" customHeight="false" outlineLevel="0" collapsed="false">
      <c r="A728" s="27"/>
      <c r="B728" s="27"/>
      <c r="C728" s="27"/>
      <c r="D728" s="27"/>
      <c r="E728" s="27"/>
      <c r="F728" s="27"/>
      <c r="G728" s="27"/>
      <c r="H728" s="7" t="n">
        <f aca="false">IFERROR(IF(D728="JPY",E728*$I$3,IF(D728="USD",E728*$J$3,E728)),"")</f>
        <v>0</v>
      </c>
    </row>
    <row r="729" customFormat="false" ht="15" hidden="false" customHeight="false" outlineLevel="0" collapsed="false">
      <c r="A729" s="27"/>
      <c r="B729" s="27"/>
      <c r="C729" s="27"/>
      <c r="D729" s="27"/>
      <c r="E729" s="27"/>
      <c r="F729" s="27"/>
      <c r="G729" s="27"/>
      <c r="H729" s="7" t="n">
        <f aca="false">IFERROR(IF(D729="JPY",E729*$I$3,IF(D729="USD",E729*$J$3,E729)),"")</f>
        <v>0</v>
      </c>
    </row>
    <row r="730" customFormat="false" ht="15" hidden="false" customHeight="false" outlineLevel="0" collapsed="false">
      <c r="A730" s="27"/>
      <c r="B730" s="27"/>
      <c r="C730" s="27"/>
      <c r="D730" s="27"/>
      <c r="E730" s="27"/>
      <c r="F730" s="27"/>
      <c r="G730" s="27"/>
      <c r="H730" s="7" t="n">
        <f aca="false">IFERROR(IF(D730="JPY",E730*$I$3,IF(D730="USD",E730*$J$3,E730)),"")</f>
        <v>0</v>
      </c>
    </row>
    <row r="731" customFormat="false" ht="15" hidden="false" customHeight="false" outlineLevel="0" collapsed="false">
      <c r="A731" s="27"/>
      <c r="B731" s="27"/>
      <c r="C731" s="27"/>
      <c r="D731" s="27"/>
      <c r="E731" s="27"/>
      <c r="F731" s="27"/>
      <c r="G731" s="27"/>
      <c r="H731" s="7" t="n">
        <f aca="false">IFERROR(IF(D731="JPY",E731*$I$3,IF(D731="USD",E731*$J$3,E731)),"")</f>
        <v>0</v>
      </c>
    </row>
    <row r="732" customFormat="false" ht="15" hidden="false" customHeight="false" outlineLevel="0" collapsed="false">
      <c r="A732" s="27"/>
      <c r="B732" s="27"/>
      <c r="C732" s="27"/>
      <c r="D732" s="27"/>
      <c r="E732" s="27"/>
      <c r="F732" s="27"/>
      <c r="G732" s="27"/>
      <c r="H732" s="7" t="n">
        <f aca="false">IFERROR(IF(D732="JPY",E732*$I$3,IF(D732="USD",E732*$J$3,E732)),"")</f>
        <v>0</v>
      </c>
    </row>
    <row r="733" customFormat="false" ht="15" hidden="false" customHeight="false" outlineLevel="0" collapsed="false">
      <c r="A733" s="27"/>
      <c r="B733" s="27"/>
      <c r="C733" s="27"/>
      <c r="D733" s="27"/>
      <c r="E733" s="27"/>
      <c r="F733" s="27"/>
      <c r="G733" s="27"/>
      <c r="H733" s="7" t="n">
        <f aca="false">IFERROR(IF(D733="JPY",E733*$I$3,IF(D733="USD",E733*$J$3,E733)),"")</f>
        <v>0</v>
      </c>
    </row>
    <row r="734" customFormat="false" ht="15" hidden="false" customHeight="false" outlineLevel="0" collapsed="false">
      <c r="A734" s="27"/>
      <c r="B734" s="27"/>
      <c r="C734" s="27"/>
      <c r="D734" s="27"/>
      <c r="E734" s="27"/>
      <c r="F734" s="27"/>
      <c r="G734" s="27"/>
      <c r="H734" s="7" t="n">
        <f aca="false">IFERROR(IF(D734="JPY",E734*$I$3,IF(D734="USD",E734*$J$3,E734)),"")</f>
        <v>0</v>
      </c>
    </row>
    <row r="735" customFormat="false" ht="15" hidden="false" customHeight="false" outlineLevel="0" collapsed="false">
      <c r="A735" s="27"/>
      <c r="B735" s="27"/>
      <c r="C735" s="27"/>
      <c r="D735" s="27"/>
      <c r="E735" s="27"/>
      <c r="F735" s="27"/>
      <c r="G735" s="27"/>
      <c r="H735" s="7" t="n">
        <f aca="false">IFERROR(IF(D735="JPY",E735*$I$3,IF(D735="USD",E735*$J$3,E735)),"")</f>
        <v>0</v>
      </c>
    </row>
    <row r="736" customFormat="false" ht="15" hidden="false" customHeight="false" outlineLevel="0" collapsed="false">
      <c r="A736" s="27"/>
      <c r="B736" s="27"/>
      <c r="C736" s="27"/>
      <c r="D736" s="27"/>
      <c r="E736" s="27"/>
      <c r="F736" s="27"/>
      <c r="G736" s="27"/>
      <c r="H736" s="7" t="n">
        <f aca="false">IFERROR(IF(D736="JPY",E736*$I$3,IF(D736="USD",E736*$J$3,E736)),"")</f>
        <v>0</v>
      </c>
    </row>
    <row r="737" customFormat="false" ht="15" hidden="false" customHeight="false" outlineLevel="0" collapsed="false">
      <c r="A737" s="27"/>
      <c r="B737" s="27"/>
      <c r="C737" s="27"/>
      <c r="D737" s="27"/>
      <c r="E737" s="27"/>
      <c r="F737" s="27"/>
      <c r="G737" s="27"/>
      <c r="H737" s="7" t="n">
        <f aca="false">IFERROR(IF(D737="JPY",E737*$I$3,IF(D737="USD",E737*$J$3,E737)),"")</f>
        <v>0</v>
      </c>
    </row>
    <row r="738" customFormat="false" ht="15" hidden="false" customHeight="false" outlineLevel="0" collapsed="false">
      <c r="A738" s="27"/>
      <c r="B738" s="27"/>
      <c r="C738" s="27"/>
      <c r="D738" s="27"/>
      <c r="E738" s="27"/>
      <c r="F738" s="27"/>
      <c r="G738" s="27"/>
      <c r="H738" s="7" t="n">
        <f aca="false">IFERROR(IF(D738="JPY",E738*$I$3,IF(D738="USD",E738*$J$3,E738)),"")</f>
        <v>0</v>
      </c>
    </row>
    <row r="739" customFormat="false" ht="15" hidden="false" customHeight="false" outlineLevel="0" collapsed="false">
      <c r="A739" s="27"/>
      <c r="B739" s="27"/>
      <c r="C739" s="27"/>
      <c r="D739" s="27"/>
      <c r="E739" s="27"/>
      <c r="F739" s="27"/>
      <c r="G739" s="27"/>
      <c r="H739" s="7" t="n">
        <f aca="false">IFERROR(IF(D739="JPY",E739*$I$3,IF(D739="USD",E739*$J$3,E739)),"")</f>
        <v>0</v>
      </c>
    </row>
    <row r="740" customFormat="false" ht="15" hidden="false" customHeight="false" outlineLevel="0" collapsed="false">
      <c r="A740" s="27"/>
      <c r="B740" s="27"/>
      <c r="C740" s="27"/>
      <c r="D740" s="27"/>
      <c r="E740" s="27"/>
      <c r="F740" s="27"/>
      <c r="G740" s="27"/>
      <c r="H740" s="7" t="n">
        <f aca="false">IFERROR(IF(D740="JPY",E740*$I$3,IF(D740="USD",E740*$J$3,E740)),"")</f>
        <v>0</v>
      </c>
    </row>
    <row r="741" customFormat="false" ht="15" hidden="false" customHeight="false" outlineLevel="0" collapsed="false">
      <c r="A741" s="27"/>
      <c r="B741" s="27"/>
      <c r="C741" s="27"/>
      <c r="D741" s="27"/>
      <c r="E741" s="27"/>
      <c r="F741" s="27"/>
      <c r="G741" s="27"/>
      <c r="H741" s="7" t="n">
        <f aca="false">IFERROR(IF(D741="JPY",E741*$I$3,IF(D741="USD",E741*$J$3,E741)),"")</f>
        <v>0</v>
      </c>
    </row>
    <row r="742" customFormat="false" ht="15" hidden="false" customHeight="false" outlineLevel="0" collapsed="false">
      <c r="A742" s="27"/>
      <c r="B742" s="27"/>
      <c r="C742" s="27"/>
      <c r="D742" s="27"/>
      <c r="E742" s="27"/>
      <c r="F742" s="27"/>
      <c r="G742" s="27"/>
      <c r="H742" s="7" t="n">
        <f aca="false">IFERROR(IF(D742="JPY",E742*$I$3,IF(D742="USD",E742*$J$3,E742)),"")</f>
        <v>0</v>
      </c>
    </row>
    <row r="743" customFormat="false" ht="15" hidden="false" customHeight="false" outlineLevel="0" collapsed="false">
      <c r="A743" s="27"/>
      <c r="B743" s="27"/>
      <c r="C743" s="27"/>
      <c r="D743" s="27"/>
      <c r="E743" s="27"/>
      <c r="F743" s="27"/>
      <c r="G743" s="27"/>
      <c r="H743" s="7" t="n">
        <f aca="false">IFERROR(IF(D743="JPY",E743*$I$3,IF(D743="USD",E743*$J$3,E743)),"")</f>
        <v>0</v>
      </c>
    </row>
    <row r="744" customFormat="false" ht="15" hidden="false" customHeight="false" outlineLevel="0" collapsed="false">
      <c r="A744" s="27"/>
      <c r="B744" s="27"/>
      <c r="C744" s="27"/>
      <c r="D744" s="27"/>
      <c r="E744" s="27"/>
      <c r="F744" s="27"/>
      <c r="G744" s="27"/>
      <c r="H744" s="7" t="n">
        <f aca="false">IFERROR(IF(D744="JPY",E744*$I$3,IF(D744="USD",E744*$J$3,E744)),"")</f>
        <v>0</v>
      </c>
    </row>
    <row r="745" customFormat="false" ht="15" hidden="false" customHeight="false" outlineLevel="0" collapsed="false">
      <c r="A745" s="27"/>
      <c r="B745" s="27"/>
      <c r="C745" s="27"/>
      <c r="D745" s="27"/>
      <c r="E745" s="27"/>
      <c r="F745" s="27"/>
      <c r="G745" s="27"/>
      <c r="H745" s="7" t="n">
        <f aca="false">IFERROR(IF(D745="JPY",E745*$I$3,IF(D745="USD",E745*$J$3,E745)),"")</f>
        <v>0</v>
      </c>
    </row>
    <row r="746" customFormat="false" ht="15" hidden="false" customHeight="false" outlineLevel="0" collapsed="false">
      <c r="A746" s="27"/>
      <c r="B746" s="27"/>
      <c r="C746" s="27"/>
      <c r="D746" s="27"/>
      <c r="E746" s="27"/>
      <c r="F746" s="27"/>
      <c r="G746" s="27"/>
      <c r="H746" s="7" t="n">
        <f aca="false">IFERROR(IF(D746="JPY",E746*$I$3,IF(D746="USD",E746*$J$3,E746)),"")</f>
        <v>0</v>
      </c>
    </row>
    <row r="747" customFormat="false" ht="15" hidden="false" customHeight="false" outlineLevel="0" collapsed="false">
      <c r="A747" s="27"/>
      <c r="B747" s="27"/>
      <c r="C747" s="27"/>
      <c r="D747" s="27"/>
      <c r="E747" s="27"/>
      <c r="F747" s="27"/>
      <c r="G747" s="27"/>
      <c r="H747" s="7" t="n">
        <f aca="false">IFERROR(IF(D747="JPY",E747*$I$3,IF(D747="USD",E747*$J$3,E747)),"")</f>
        <v>0</v>
      </c>
    </row>
    <row r="748" customFormat="false" ht="15" hidden="false" customHeight="false" outlineLevel="0" collapsed="false">
      <c r="A748" s="27"/>
      <c r="B748" s="27"/>
      <c r="C748" s="27"/>
      <c r="D748" s="27"/>
      <c r="E748" s="27"/>
      <c r="F748" s="27"/>
      <c r="G748" s="27"/>
      <c r="H748" s="7" t="n">
        <f aca="false">IFERROR(IF(D748="JPY",E748*$I$3,IF(D748="USD",E748*$J$3,E748)),"")</f>
        <v>0</v>
      </c>
    </row>
    <row r="749" customFormat="false" ht="15" hidden="false" customHeight="false" outlineLevel="0" collapsed="false">
      <c r="A749" s="27"/>
      <c r="B749" s="27"/>
      <c r="C749" s="27"/>
      <c r="D749" s="27"/>
      <c r="E749" s="27"/>
      <c r="F749" s="27"/>
      <c r="G749" s="27"/>
      <c r="H749" s="7" t="n">
        <f aca="false">IFERROR(IF(D749="JPY",E749*$I$3,IF(D749="USD",E749*$J$3,E749)),"")</f>
        <v>0</v>
      </c>
    </row>
    <row r="750" customFormat="false" ht="15" hidden="false" customHeight="false" outlineLevel="0" collapsed="false">
      <c r="A750" s="27"/>
      <c r="B750" s="27"/>
      <c r="C750" s="27"/>
      <c r="D750" s="27"/>
      <c r="E750" s="27"/>
      <c r="F750" s="27"/>
      <c r="G750" s="27"/>
      <c r="H750" s="7" t="n">
        <f aca="false">IFERROR(IF(D750="JPY",E750*$I$3,IF(D750="USD",E750*$J$3,E750)),"")</f>
        <v>0</v>
      </c>
    </row>
    <row r="751" customFormat="false" ht="15" hidden="false" customHeight="false" outlineLevel="0" collapsed="false">
      <c r="A751" s="27"/>
      <c r="B751" s="27"/>
      <c r="C751" s="27"/>
      <c r="D751" s="27"/>
      <c r="E751" s="27"/>
      <c r="F751" s="27"/>
      <c r="G751" s="27"/>
      <c r="H751" s="7" t="n">
        <f aca="false">IFERROR(IF(D751="JPY",E751*$I$3,IF(D751="USD",E751*$J$3,E751)),"")</f>
        <v>0</v>
      </c>
    </row>
    <row r="752" customFormat="false" ht="15" hidden="false" customHeight="false" outlineLevel="0" collapsed="false">
      <c r="A752" s="27"/>
      <c r="B752" s="27"/>
      <c r="C752" s="27"/>
      <c r="D752" s="27"/>
      <c r="E752" s="27"/>
      <c r="F752" s="27"/>
      <c r="G752" s="27"/>
      <c r="H752" s="7" t="n">
        <f aca="false">IFERROR(IF(D752="JPY",E752*$I$3,IF(D752="USD",E752*$J$3,E752)),"")</f>
        <v>0</v>
      </c>
    </row>
    <row r="753" customFormat="false" ht="15" hidden="false" customHeight="false" outlineLevel="0" collapsed="false">
      <c r="A753" s="27"/>
      <c r="B753" s="27"/>
      <c r="C753" s="27"/>
      <c r="D753" s="27"/>
      <c r="E753" s="27"/>
      <c r="F753" s="27"/>
      <c r="G753" s="27"/>
      <c r="H753" s="7" t="n">
        <f aca="false">IFERROR(IF(D753="JPY",E753*$I$3,IF(D753="USD",E753*$J$3,E753)),"")</f>
        <v>0</v>
      </c>
    </row>
    <row r="754" customFormat="false" ht="15" hidden="false" customHeight="false" outlineLevel="0" collapsed="false">
      <c r="A754" s="27"/>
      <c r="B754" s="27"/>
      <c r="C754" s="27"/>
      <c r="D754" s="27"/>
      <c r="E754" s="27"/>
      <c r="F754" s="27"/>
      <c r="G754" s="27"/>
      <c r="H754" s="7" t="n">
        <f aca="false">IFERROR(IF(D754="JPY",E754*$I$3,IF(D754="USD",E754*$J$3,E754)),"")</f>
        <v>0</v>
      </c>
    </row>
    <row r="755" customFormat="false" ht="15" hidden="false" customHeight="false" outlineLevel="0" collapsed="false">
      <c r="A755" s="27"/>
      <c r="B755" s="27"/>
      <c r="C755" s="27"/>
      <c r="D755" s="27"/>
      <c r="E755" s="27"/>
      <c r="F755" s="27"/>
      <c r="G755" s="27"/>
      <c r="H755" s="7" t="n">
        <f aca="false">IFERROR(IF(D755="JPY",E755*$I$3,IF(D755="USD",E755*$J$3,E755)),"")</f>
        <v>0</v>
      </c>
    </row>
    <row r="756" customFormat="false" ht="15" hidden="false" customHeight="false" outlineLevel="0" collapsed="false">
      <c r="A756" s="27"/>
      <c r="B756" s="27"/>
      <c r="C756" s="27"/>
      <c r="D756" s="27"/>
      <c r="E756" s="27"/>
      <c r="F756" s="27"/>
      <c r="G756" s="27"/>
      <c r="H756" s="7" t="n">
        <f aca="false">IFERROR(IF(D756="JPY",E756*$I$3,IF(D756="USD",E756*$J$3,E756)),"")</f>
        <v>0</v>
      </c>
    </row>
    <row r="757" customFormat="false" ht="15" hidden="false" customHeight="false" outlineLevel="0" collapsed="false">
      <c r="A757" s="27"/>
      <c r="B757" s="27"/>
      <c r="C757" s="27"/>
      <c r="D757" s="27"/>
      <c r="E757" s="27"/>
      <c r="F757" s="27"/>
      <c r="G757" s="27"/>
      <c r="H757" s="7" t="n">
        <f aca="false">IFERROR(IF(D757="JPY",E757*$I$3,IF(D757="USD",E757*$J$3,E757)),"")</f>
        <v>0</v>
      </c>
    </row>
    <row r="758" customFormat="false" ht="15" hidden="false" customHeight="false" outlineLevel="0" collapsed="false">
      <c r="A758" s="27"/>
      <c r="B758" s="27"/>
      <c r="C758" s="27"/>
      <c r="D758" s="27"/>
      <c r="E758" s="27"/>
      <c r="F758" s="27"/>
      <c r="G758" s="27"/>
      <c r="H758" s="7" t="n">
        <f aca="false">IFERROR(IF(D758="JPY",E758*$I$3,IF(D758="USD",E758*$J$3,E758)),"")</f>
        <v>0</v>
      </c>
    </row>
    <row r="759" customFormat="false" ht="15" hidden="false" customHeight="false" outlineLevel="0" collapsed="false">
      <c r="A759" s="27"/>
      <c r="B759" s="27"/>
      <c r="C759" s="27"/>
      <c r="D759" s="27"/>
      <c r="E759" s="27"/>
      <c r="F759" s="27"/>
      <c r="G759" s="27"/>
      <c r="H759" s="7" t="n">
        <f aca="false">IFERROR(IF(D759="JPY",E759*$I$3,IF(D759="USD",E759*$J$3,E759)),"")</f>
        <v>0</v>
      </c>
    </row>
    <row r="760" customFormat="false" ht="15" hidden="false" customHeight="false" outlineLevel="0" collapsed="false">
      <c r="A760" s="27"/>
      <c r="B760" s="27"/>
      <c r="C760" s="27"/>
      <c r="D760" s="27"/>
      <c r="E760" s="27"/>
      <c r="F760" s="27"/>
      <c r="G760" s="27"/>
      <c r="H760" s="7" t="n">
        <f aca="false">IFERROR(IF(D760="JPY",E760*$I$3,IF(D760="USD",E760*$J$3,E760)),"")</f>
        <v>0</v>
      </c>
    </row>
    <row r="761" customFormat="false" ht="15" hidden="false" customHeight="false" outlineLevel="0" collapsed="false">
      <c r="A761" s="27"/>
      <c r="B761" s="27"/>
      <c r="C761" s="27"/>
      <c r="D761" s="27"/>
      <c r="E761" s="27"/>
      <c r="F761" s="27"/>
      <c r="G761" s="27"/>
      <c r="H761" s="7" t="n">
        <f aca="false">IFERROR(IF(D761="JPY",E761*$I$3,IF(D761="USD",E761*$J$3,E761)),"")</f>
        <v>0</v>
      </c>
    </row>
    <row r="762" customFormat="false" ht="15" hidden="false" customHeight="false" outlineLevel="0" collapsed="false">
      <c r="A762" s="27"/>
      <c r="B762" s="27"/>
      <c r="C762" s="27"/>
      <c r="D762" s="27"/>
      <c r="E762" s="27"/>
      <c r="F762" s="27"/>
      <c r="G762" s="27"/>
      <c r="H762" s="7" t="n">
        <f aca="false">IFERROR(IF(D762="JPY",E762*$I$3,IF(D762="USD",E762*$J$3,E762)),"")</f>
        <v>0</v>
      </c>
    </row>
    <row r="763" customFormat="false" ht="15" hidden="false" customHeight="false" outlineLevel="0" collapsed="false">
      <c r="A763" s="27"/>
      <c r="B763" s="27"/>
      <c r="C763" s="27"/>
      <c r="D763" s="27"/>
      <c r="E763" s="27"/>
      <c r="F763" s="27"/>
      <c r="G763" s="27"/>
      <c r="H763" s="7" t="n">
        <f aca="false">IFERROR(IF(D763="JPY",E763*$I$3,IF(D763="USD",E763*$J$3,E763)),"")</f>
        <v>0</v>
      </c>
    </row>
    <row r="764" customFormat="false" ht="15" hidden="false" customHeight="false" outlineLevel="0" collapsed="false">
      <c r="A764" s="27"/>
      <c r="B764" s="27"/>
      <c r="C764" s="27"/>
      <c r="D764" s="27"/>
      <c r="E764" s="27"/>
      <c r="F764" s="27"/>
      <c r="G764" s="27"/>
      <c r="H764" s="7" t="n">
        <f aca="false">IFERROR(IF(D764="JPY",E764*$I$3,IF(D764="USD",E764*$J$3,E764)),"")</f>
        <v>0</v>
      </c>
    </row>
    <row r="765" customFormat="false" ht="15" hidden="false" customHeight="false" outlineLevel="0" collapsed="false">
      <c r="A765" s="27"/>
      <c r="B765" s="27"/>
      <c r="C765" s="27"/>
      <c r="D765" s="27"/>
      <c r="E765" s="27"/>
      <c r="F765" s="27"/>
      <c r="G765" s="27"/>
      <c r="H765" s="7" t="n">
        <f aca="false">IFERROR(IF(D765="JPY",E765*$I$3,IF(D765="USD",E765*$J$3,E765)),"")</f>
        <v>0</v>
      </c>
    </row>
    <row r="766" customFormat="false" ht="15" hidden="false" customHeight="false" outlineLevel="0" collapsed="false">
      <c r="A766" s="27"/>
      <c r="B766" s="27"/>
      <c r="C766" s="27"/>
      <c r="D766" s="27"/>
      <c r="E766" s="27"/>
      <c r="F766" s="27"/>
      <c r="G766" s="27"/>
      <c r="H766" s="7" t="n">
        <f aca="false">IFERROR(IF(D766="JPY",E766*$I$3,IF(D766="USD",E766*$J$3,E766)),"")</f>
        <v>0</v>
      </c>
    </row>
    <row r="767" customFormat="false" ht="15" hidden="false" customHeight="false" outlineLevel="0" collapsed="false">
      <c r="A767" s="27"/>
      <c r="B767" s="27"/>
      <c r="C767" s="27"/>
      <c r="D767" s="27"/>
      <c r="E767" s="27"/>
      <c r="F767" s="27"/>
      <c r="G767" s="27"/>
      <c r="H767" s="7" t="n">
        <f aca="false">IFERROR(IF(D767="JPY",E767*$I$3,IF(D767="USD",E767*$J$3,E767)),"")</f>
        <v>0</v>
      </c>
    </row>
    <row r="768" customFormat="false" ht="15" hidden="false" customHeight="false" outlineLevel="0" collapsed="false">
      <c r="A768" s="27"/>
      <c r="B768" s="27"/>
      <c r="C768" s="27"/>
      <c r="D768" s="27"/>
      <c r="E768" s="27"/>
      <c r="F768" s="27"/>
      <c r="G768" s="27"/>
      <c r="H768" s="7" t="n">
        <f aca="false">IFERROR(IF(D768="JPY",E768*$I$3,IF(D768="USD",E768*$J$3,E768)),"")</f>
        <v>0</v>
      </c>
    </row>
    <row r="769" customFormat="false" ht="15" hidden="false" customHeight="false" outlineLevel="0" collapsed="false">
      <c r="A769" s="27"/>
      <c r="B769" s="27"/>
      <c r="C769" s="27"/>
      <c r="D769" s="27"/>
      <c r="E769" s="27"/>
      <c r="F769" s="27"/>
      <c r="G769" s="27"/>
      <c r="H769" s="7" t="n">
        <f aca="false">IFERROR(IF(D769="JPY",E769*$I$3,IF(D769="USD",E769*$J$3,E769)),"")</f>
        <v>0</v>
      </c>
    </row>
    <row r="770" customFormat="false" ht="15" hidden="false" customHeight="false" outlineLevel="0" collapsed="false">
      <c r="A770" s="27"/>
      <c r="B770" s="27"/>
      <c r="C770" s="27"/>
      <c r="D770" s="27"/>
      <c r="E770" s="27"/>
      <c r="F770" s="27"/>
      <c r="G770" s="27"/>
      <c r="H770" s="7" t="n">
        <f aca="false">IFERROR(IF(D770="JPY",E770*$I$3,IF(D770="USD",E770*$J$3,E770)),"")</f>
        <v>0</v>
      </c>
    </row>
    <row r="771" customFormat="false" ht="15" hidden="false" customHeight="false" outlineLevel="0" collapsed="false">
      <c r="A771" s="27"/>
      <c r="B771" s="27"/>
      <c r="C771" s="27"/>
      <c r="D771" s="27"/>
      <c r="E771" s="27"/>
      <c r="F771" s="27"/>
      <c r="G771" s="27"/>
      <c r="H771" s="7" t="n">
        <f aca="false">IFERROR(IF(D771="JPY",E771*$I$3,IF(D771="USD",E771*$J$3,E771)),"")</f>
        <v>0</v>
      </c>
    </row>
    <row r="772" customFormat="false" ht="15" hidden="false" customHeight="false" outlineLevel="0" collapsed="false">
      <c r="A772" s="27"/>
      <c r="B772" s="27"/>
      <c r="C772" s="27"/>
      <c r="D772" s="27"/>
      <c r="E772" s="27"/>
      <c r="F772" s="27"/>
      <c r="G772" s="27"/>
      <c r="H772" s="7" t="n">
        <f aca="false">IFERROR(IF(D772="JPY",E772*$I$3,IF(D772="USD",E772*$J$3,E772)),"")</f>
        <v>0</v>
      </c>
    </row>
    <row r="773" customFormat="false" ht="15" hidden="false" customHeight="false" outlineLevel="0" collapsed="false">
      <c r="A773" s="27"/>
      <c r="B773" s="27"/>
      <c r="C773" s="27"/>
      <c r="D773" s="27"/>
      <c r="E773" s="27"/>
      <c r="F773" s="27"/>
      <c r="G773" s="27"/>
      <c r="H773" s="7" t="n">
        <f aca="false">IFERROR(IF(D773="JPY",E773*$I$3,IF(D773="USD",E773*$J$3,E773)),"")</f>
        <v>0</v>
      </c>
    </row>
    <row r="774" customFormat="false" ht="15" hidden="false" customHeight="false" outlineLevel="0" collapsed="false">
      <c r="A774" s="27"/>
      <c r="B774" s="27"/>
      <c r="C774" s="27"/>
      <c r="D774" s="27"/>
      <c r="E774" s="27"/>
      <c r="F774" s="27"/>
      <c r="G774" s="27"/>
      <c r="H774" s="7" t="n">
        <f aca="false">IFERROR(IF(D774="JPY",E774*$I$3,IF(D774="USD",E774*$J$3,E774)),"")</f>
        <v>0</v>
      </c>
    </row>
    <row r="775" customFormat="false" ht="15" hidden="false" customHeight="false" outlineLevel="0" collapsed="false">
      <c r="A775" s="27"/>
      <c r="B775" s="27"/>
      <c r="C775" s="27"/>
      <c r="D775" s="27"/>
      <c r="E775" s="27"/>
      <c r="F775" s="27"/>
      <c r="G775" s="27"/>
      <c r="H775" s="7" t="n">
        <f aca="false">IFERROR(IF(D775="JPY",E775*$I$3,IF(D775="USD",E775*$J$3,E775)),"")</f>
        <v>0</v>
      </c>
    </row>
    <row r="776" customFormat="false" ht="15" hidden="false" customHeight="false" outlineLevel="0" collapsed="false">
      <c r="A776" s="27"/>
      <c r="B776" s="27"/>
      <c r="C776" s="27"/>
      <c r="D776" s="27"/>
      <c r="E776" s="27"/>
      <c r="F776" s="27"/>
      <c r="G776" s="27"/>
      <c r="H776" s="7" t="n">
        <f aca="false">IFERROR(IF(D776="JPY",E776*$I$3,IF(D776="USD",E776*$J$3,E776)),"")</f>
        <v>0</v>
      </c>
    </row>
    <row r="777" customFormat="false" ht="15" hidden="false" customHeight="false" outlineLevel="0" collapsed="false">
      <c r="A777" s="27"/>
      <c r="B777" s="27"/>
      <c r="C777" s="27"/>
      <c r="D777" s="27"/>
      <c r="E777" s="27"/>
      <c r="F777" s="27"/>
      <c r="G777" s="27"/>
      <c r="H777" s="7" t="n">
        <f aca="false">IFERROR(IF(D777="JPY",E777*$I$3,IF(D777="USD",E777*$J$3,E777)),"")</f>
        <v>0</v>
      </c>
    </row>
    <row r="778" customFormat="false" ht="15" hidden="false" customHeight="false" outlineLevel="0" collapsed="false">
      <c r="A778" s="27"/>
      <c r="B778" s="27"/>
      <c r="C778" s="27"/>
      <c r="D778" s="27"/>
      <c r="E778" s="27"/>
      <c r="F778" s="27"/>
      <c r="G778" s="27"/>
      <c r="H778" s="7" t="n">
        <f aca="false">IFERROR(IF(D778="JPY",E778*$I$3,IF(D778="USD",E778*$J$3,E778)),"")</f>
        <v>0</v>
      </c>
    </row>
    <row r="779" customFormat="false" ht="15" hidden="false" customHeight="false" outlineLevel="0" collapsed="false">
      <c r="A779" s="27"/>
      <c r="B779" s="27"/>
      <c r="C779" s="27"/>
      <c r="D779" s="27"/>
      <c r="E779" s="27"/>
      <c r="F779" s="27"/>
      <c r="G779" s="27"/>
      <c r="H779" s="7" t="n">
        <f aca="false">IFERROR(IF(D779="JPY",E779*$I$3,IF(D779="USD",E779*$J$3,E779)),"")</f>
        <v>0</v>
      </c>
    </row>
    <row r="780" customFormat="false" ht="15" hidden="false" customHeight="false" outlineLevel="0" collapsed="false">
      <c r="A780" s="27"/>
      <c r="B780" s="27"/>
      <c r="C780" s="27"/>
      <c r="D780" s="27"/>
      <c r="E780" s="27"/>
      <c r="F780" s="27"/>
      <c r="G780" s="27"/>
      <c r="H780" s="7" t="n">
        <f aca="false">IFERROR(IF(D780="JPY",E780*$I$3,IF(D780="USD",E780*$J$3,E780)),"")</f>
        <v>0</v>
      </c>
    </row>
    <row r="781" customFormat="false" ht="15" hidden="false" customHeight="false" outlineLevel="0" collapsed="false">
      <c r="A781" s="27"/>
      <c r="B781" s="27"/>
      <c r="C781" s="27"/>
      <c r="D781" s="27"/>
      <c r="E781" s="27"/>
      <c r="F781" s="27"/>
      <c r="G781" s="27"/>
      <c r="H781" s="7" t="n">
        <f aca="false">IFERROR(IF(D781="JPY",E781*$I$3,IF(D781="USD",E781*$J$3,E781)),"")</f>
        <v>0</v>
      </c>
    </row>
    <row r="782" customFormat="false" ht="15" hidden="false" customHeight="false" outlineLevel="0" collapsed="false">
      <c r="A782" s="27"/>
      <c r="B782" s="27"/>
      <c r="C782" s="27"/>
      <c r="D782" s="27"/>
      <c r="E782" s="27"/>
      <c r="F782" s="27"/>
      <c r="G782" s="27"/>
      <c r="H782" s="7" t="n">
        <f aca="false">IFERROR(IF(D782="JPY",E782*$I$3,IF(D782="USD",E782*$J$3,E782)),"")</f>
        <v>0</v>
      </c>
    </row>
    <row r="783" customFormat="false" ht="15" hidden="false" customHeight="false" outlineLevel="0" collapsed="false">
      <c r="A783" s="27"/>
      <c r="B783" s="27"/>
      <c r="C783" s="27"/>
      <c r="D783" s="27"/>
      <c r="E783" s="27"/>
      <c r="F783" s="27"/>
      <c r="G783" s="27"/>
      <c r="H783" s="7" t="n">
        <f aca="false">IFERROR(IF(D783="JPY",E783*$I$3,IF(D783="USD",E783*$J$3,E783)),"")</f>
        <v>0</v>
      </c>
    </row>
    <row r="784" customFormat="false" ht="15" hidden="false" customHeight="false" outlineLevel="0" collapsed="false">
      <c r="A784" s="27"/>
      <c r="B784" s="27"/>
      <c r="C784" s="27"/>
      <c r="D784" s="27"/>
      <c r="E784" s="27"/>
      <c r="F784" s="27"/>
      <c r="G784" s="27"/>
      <c r="H784" s="7" t="n">
        <f aca="false">IFERROR(IF(D784="JPY",E784*$I$3,IF(D784="USD",E784*$J$3,E784)),"")</f>
        <v>0</v>
      </c>
    </row>
    <row r="785" customFormat="false" ht="15" hidden="false" customHeight="false" outlineLevel="0" collapsed="false">
      <c r="A785" s="27"/>
      <c r="B785" s="27"/>
      <c r="C785" s="27"/>
      <c r="D785" s="27"/>
      <c r="E785" s="27"/>
      <c r="F785" s="27"/>
      <c r="G785" s="27"/>
      <c r="H785" s="7" t="n">
        <f aca="false">IFERROR(IF(D785="JPY",E785*$I$3,IF(D785="USD",E785*$J$3,E785)),"")</f>
        <v>0</v>
      </c>
    </row>
    <row r="786" customFormat="false" ht="15" hidden="false" customHeight="false" outlineLevel="0" collapsed="false">
      <c r="A786" s="27"/>
      <c r="B786" s="27"/>
      <c r="C786" s="27"/>
      <c r="D786" s="27"/>
      <c r="E786" s="27"/>
      <c r="F786" s="27"/>
      <c r="G786" s="27"/>
      <c r="H786" s="7" t="n">
        <f aca="false">IFERROR(IF(D786="JPY",E786*$I$3,IF(D786="USD",E786*$J$3,E786)),"")</f>
        <v>0</v>
      </c>
    </row>
    <row r="787" customFormat="false" ht="15" hidden="false" customHeight="false" outlineLevel="0" collapsed="false">
      <c r="A787" s="27"/>
      <c r="B787" s="27"/>
      <c r="C787" s="27"/>
      <c r="D787" s="27"/>
      <c r="E787" s="27"/>
      <c r="F787" s="27"/>
      <c r="G787" s="27"/>
      <c r="H787" s="7" t="n">
        <f aca="false">IFERROR(IF(D787="JPY",E787*$I$3,IF(D787="USD",E787*$J$3,E787)),"")</f>
        <v>0</v>
      </c>
    </row>
    <row r="788" customFormat="false" ht="15" hidden="false" customHeight="false" outlineLevel="0" collapsed="false">
      <c r="A788" s="27"/>
      <c r="B788" s="27"/>
      <c r="C788" s="27"/>
      <c r="D788" s="27"/>
      <c r="E788" s="27"/>
      <c r="F788" s="27"/>
      <c r="G788" s="27"/>
      <c r="H788" s="7" t="n">
        <f aca="false">IFERROR(IF(D788="JPY",E788*$I$3,IF(D788="USD",E788*$J$3,E788)),"")</f>
        <v>0</v>
      </c>
    </row>
    <row r="789" customFormat="false" ht="15" hidden="false" customHeight="false" outlineLevel="0" collapsed="false">
      <c r="A789" s="27"/>
      <c r="B789" s="27"/>
      <c r="C789" s="27"/>
      <c r="D789" s="27"/>
      <c r="E789" s="27"/>
      <c r="F789" s="27"/>
      <c r="G789" s="27"/>
      <c r="H789" s="7" t="n">
        <f aca="false">IFERROR(IF(D789="JPY",E789*$I$3,IF(D789="USD",E789*$J$3,E789)),"")</f>
        <v>0</v>
      </c>
    </row>
    <row r="790" customFormat="false" ht="15" hidden="false" customHeight="false" outlineLevel="0" collapsed="false">
      <c r="A790" s="27"/>
      <c r="B790" s="27"/>
      <c r="C790" s="27"/>
      <c r="D790" s="27"/>
      <c r="E790" s="27"/>
      <c r="F790" s="27"/>
      <c r="G790" s="27"/>
      <c r="H790" s="7" t="n">
        <f aca="false">IFERROR(IF(D790="JPY",E790*$I$3,IF(D790="USD",E790*$J$3,E790)),"")</f>
        <v>0</v>
      </c>
    </row>
    <row r="791" customFormat="false" ht="15" hidden="false" customHeight="false" outlineLevel="0" collapsed="false">
      <c r="A791" s="27"/>
      <c r="B791" s="27"/>
      <c r="C791" s="27"/>
      <c r="D791" s="27"/>
      <c r="E791" s="27"/>
      <c r="F791" s="27"/>
      <c r="G791" s="27"/>
      <c r="H791" s="7" t="n">
        <f aca="false">IFERROR(IF(D791="JPY",E791*$I$3,IF(D791="USD",E791*$J$3,E791)),"")</f>
        <v>0</v>
      </c>
    </row>
    <row r="792" customFormat="false" ht="15" hidden="false" customHeight="false" outlineLevel="0" collapsed="false">
      <c r="A792" s="27"/>
      <c r="B792" s="27"/>
      <c r="C792" s="27"/>
      <c r="D792" s="27"/>
      <c r="E792" s="27"/>
      <c r="F792" s="27"/>
      <c r="G792" s="27"/>
      <c r="H792" s="7" t="n">
        <f aca="false">IFERROR(IF(D792="JPY",E792*$I$3,IF(D792="USD",E792*$J$3,E792)),"")</f>
        <v>0</v>
      </c>
    </row>
    <row r="793" customFormat="false" ht="15" hidden="false" customHeight="false" outlineLevel="0" collapsed="false">
      <c r="A793" s="27"/>
      <c r="B793" s="27"/>
      <c r="C793" s="27"/>
      <c r="D793" s="27"/>
      <c r="E793" s="27"/>
      <c r="F793" s="27"/>
      <c r="G793" s="27"/>
      <c r="H793" s="7" t="n">
        <f aca="false">IFERROR(IF(D793="JPY",E793*$I$3,IF(D793="USD",E793*$J$3,E793)),"")</f>
        <v>0</v>
      </c>
    </row>
    <row r="794" customFormat="false" ht="15" hidden="false" customHeight="false" outlineLevel="0" collapsed="false">
      <c r="A794" s="27"/>
      <c r="B794" s="27"/>
      <c r="C794" s="27"/>
      <c r="D794" s="27"/>
      <c r="E794" s="27"/>
      <c r="F794" s="27"/>
      <c r="G794" s="27"/>
      <c r="H794" s="7" t="n">
        <f aca="false">IFERROR(IF(D794="JPY",E794*$I$3,IF(D794="USD",E794*$J$3,E794)),"")</f>
        <v>0</v>
      </c>
    </row>
    <row r="795" customFormat="false" ht="15" hidden="false" customHeight="false" outlineLevel="0" collapsed="false">
      <c r="A795" s="27"/>
      <c r="B795" s="27"/>
      <c r="C795" s="27"/>
      <c r="D795" s="27"/>
      <c r="E795" s="27"/>
      <c r="F795" s="27"/>
      <c r="G795" s="27"/>
      <c r="H795" s="7" t="n">
        <f aca="false">IFERROR(IF(D795="JPY",E795*$I$3,IF(D795="USD",E795*$J$3,E795)),"")</f>
        <v>0</v>
      </c>
    </row>
    <row r="796" customFormat="false" ht="15" hidden="false" customHeight="false" outlineLevel="0" collapsed="false">
      <c r="A796" s="27"/>
      <c r="B796" s="27"/>
      <c r="C796" s="27"/>
      <c r="D796" s="27"/>
      <c r="E796" s="27"/>
      <c r="F796" s="27"/>
      <c r="G796" s="27"/>
      <c r="H796" s="7" t="n">
        <f aca="false">IFERROR(IF(D796="JPY",E796*$I$3,IF(D796="USD",E796*$J$3,E796)),"")</f>
        <v>0</v>
      </c>
    </row>
    <row r="797" customFormat="false" ht="15" hidden="false" customHeight="false" outlineLevel="0" collapsed="false">
      <c r="A797" s="27"/>
      <c r="B797" s="27"/>
      <c r="C797" s="27"/>
      <c r="D797" s="27"/>
      <c r="E797" s="27"/>
      <c r="F797" s="27"/>
      <c r="G797" s="27"/>
      <c r="H797" s="7" t="n">
        <f aca="false">IFERROR(IF(D797="JPY",E797*$I$3,IF(D797="USD",E797*$J$3,E797)),"")</f>
        <v>0</v>
      </c>
    </row>
    <row r="798" customFormat="false" ht="15" hidden="false" customHeight="false" outlineLevel="0" collapsed="false">
      <c r="A798" s="27"/>
      <c r="B798" s="27"/>
      <c r="C798" s="27"/>
      <c r="D798" s="27"/>
      <c r="E798" s="27"/>
      <c r="F798" s="27"/>
      <c r="G798" s="27"/>
      <c r="H798" s="7" t="n">
        <f aca="false">IFERROR(IF(D798="JPY",E798*$I$3,IF(D798="USD",E798*$J$3,E798)),"")</f>
        <v>0</v>
      </c>
    </row>
    <row r="799" customFormat="false" ht="15" hidden="false" customHeight="false" outlineLevel="0" collapsed="false">
      <c r="A799" s="27"/>
      <c r="B799" s="27"/>
      <c r="C799" s="27"/>
      <c r="D799" s="27"/>
      <c r="E799" s="27"/>
      <c r="F799" s="27"/>
      <c r="G799" s="27"/>
      <c r="H799" s="7" t="n">
        <f aca="false">IFERROR(IF(D799="JPY",E799*$I$3,IF(D799="USD",E799*$J$3,E799)),"")</f>
        <v>0</v>
      </c>
    </row>
    <row r="800" customFormat="false" ht="15" hidden="false" customHeight="false" outlineLevel="0" collapsed="false">
      <c r="A800" s="27"/>
      <c r="B800" s="27"/>
      <c r="C800" s="27"/>
      <c r="D800" s="27"/>
      <c r="E800" s="27"/>
      <c r="F800" s="27"/>
      <c r="G800" s="27"/>
      <c r="H800" s="7" t="n">
        <f aca="false">IFERROR(IF(D800="JPY",E800*$I$3,IF(D800="USD",E800*$J$3,E800)),"")</f>
        <v>0</v>
      </c>
    </row>
    <row r="801" customFormat="false" ht="15" hidden="false" customHeight="false" outlineLevel="0" collapsed="false">
      <c r="A801" s="27"/>
      <c r="B801" s="27"/>
      <c r="C801" s="27"/>
      <c r="D801" s="27"/>
      <c r="E801" s="27"/>
      <c r="F801" s="27"/>
      <c r="G801" s="27"/>
      <c r="H801" s="7" t="n">
        <f aca="false">IFERROR(IF(D801="JPY",E801*$I$3,IF(D801="USD",E801*$J$3,E801)),"")</f>
        <v>0</v>
      </c>
    </row>
    <row r="802" customFormat="false" ht="15" hidden="false" customHeight="false" outlineLevel="0" collapsed="false">
      <c r="A802" s="27"/>
      <c r="B802" s="27"/>
      <c r="C802" s="27"/>
      <c r="D802" s="27"/>
      <c r="E802" s="27"/>
      <c r="F802" s="27"/>
      <c r="G802" s="27"/>
      <c r="H802" s="7" t="n">
        <f aca="false">IFERROR(IF(D802="JPY",E802*$I$3,IF(D802="USD",E802*$J$3,E802)),"")</f>
        <v>0</v>
      </c>
    </row>
    <row r="803" customFormat="false" ht="15" hidden="false" customHeight="false" outlineLevel="0" collapsed="false">
      <c r="A803" s="27"/>
      <c r="B803" s="27"/>
      <c r="C803" s="27"/>
      <c r="D803" s="27"/>
      <c r="E803" s="27"/>
      <c r="F803" s="27"/>
      <c r="G803" s="27"/>
      <c r="H803" s="7" t="n">
        <f aca="false">IFERROR(IF(D803="JPY",E803*$I$3,IF(D803="USD",E803*$J$3,E803)),"")</f>
        <v>0</v>
      </c>
    </row>
    <row r="804" customFormat="false" ht="15" hidden="false" customHeight="false" outlineLevel="0" collapsed="false">
      <c r="A804" s="27"/>
      <c r="B804" s="27"/>
      <c r="C804" s="27"/>
      <c r="D804" s="27"/>
      <c r="E804" s="27"/>
      <c r="F804" s="27"/>
      <c r="G804" s="27"/>
      <c r="H804" s="7" t="n">
        <f aca="false">IFERROR(IF(D804="JPY",E804*$I$3,IF(D804="USD",E804*$J$3,E804)),"")</f>
        <v>0</v>
      </c>
    </row>
    <row r="805" customFormat="false" ht="15" hidden="false" customHeight="false" outlineLevel="0" collapsed="false">
      <c r="A805" s="27"/>
      <c r="B805" s="27"/>
      <c r="C805" s="27"/>
      <c r="D805" s="27"/>
      <c r="E805" s="27"/>
      <c r="F805" s="27"/>
      <c r="G805" s="27"/>
      <c r="H805" s="7" t="n">
        <f aca="false">IFERROR(IF(D805="JPY",E805*$I$3,IF(D805="USD",E805*$J$3,E805)),"")</f>
        <v>0</v>
      </c>
    </row>
    <row r="806" customFormat="false" ht="15" hidden="false" customHeight="false" outlineLevel="0" collapsed="false">
      <c r="A806" s="27"/>
      <c r="B806" s="27"/>
      <c r="C806" s="27"/>
      <c r="D806" s="27"/>
      <c r="E806" s="27"/>
      <c r="F806" s="27"/>
      <c r="G806" s="27"/>
      <c r="H806" s="7" t="n">
        <f aca="false">IFERROR(IF(D806="JPY",E806*$I$3,IF(D806="USD",E806*$J$3,E806)),"")</f>
        <v>0</v>
      </c>
    </row>
    <row r="807" customFormat="false" ht="15" hidden="false" customHeight="false" outlineLevel="0" collapsed="false">
      <c r="A807" s="27"/>
      <c r="B807" s="27"/>
      <c r="C807" s="27"/>
      <c r="D807" s="27"/>
      <c r="E807" s="27"/>
      <c r="F807" s="27"/>
      <c r="G807" s="27"/>
      <c r="H807" s="7" t="n">
        <f aca="false">IFERROR(IF(D807="JPY",E807*$I$3,IF(D807="USD",E807*$J$3,E807)),"")</f>
        <v>0</v>
      </c>
    </row>
    <row r="808" customFormat="false" ht="15" hidden="false" customHeight="false" outlineLevel="0" collapsed="false">
      <c r="A808" s="27"/>
      <c r="B808" s="27"/>
      <c r="C808" s="27"/>
      <c r="D808" s="27"/>
      <c r="E808" s="27"/>
      <c r="F808" s="27"/>
      <c r="G808" s="27"/>
      <c r="H808" s="7" t="n">
        <f aca="false">IFERROR(IF(D808="JPY",E808*$I$3,IF(D808="USD",E808*$J$3,E808)),"")</f>
        <v>0</v>
      </c>
    </row>
    <row r="809" customFormat="false" ht="15" hidden="false" customHeight="false" outlineLevel="0" collapsed="false">
      <c r="A809" s="27"/>
      <c r="B809" s="27"/>
      <c r="C809" s="27"/>
      <c r="D809" s="27"/>
      <c r="E809" s="27"/>
      <c r="F809" s="27"/>
      <c r="G809" s="27"/>
      <c r="H809" s="7" t="n">
        <f aca="false">IFERROR(IF(D809="JPY",E809*$I$3,IF(D809="USD",E809*$J$3,E809)),"")</f>
        <v>0</v>
      </c>
    </row>
    <row r="810" customFormat="false" ht="15" hidden="false" customHeight="false" outlineLevel="0" collapsed="false">
      <c r="A810" s="27"/>
      <c r="B810" s="27"/>
      <c r="C810" s="27"/>
      <c r="D810" s="27"/>
      <c r="E810" s="27"/>
      <c r="F810" s="27"/>
      <c r="G810" s="27"/>
      <c r="H810" s="7" t="n">
        <f aca="false">IFERROR(IF(D810="JPY",E810*$I$3,IF(D810="USD",E810*$J$3,E810)),"")</f>
        <v>0</v>
      </c>
    </row>
    <row r="811" customFormat="false" ht="15" hidden="false" customHeight="false" outlineLevel="0" collapsed="false">
      <c r="A811" s="27"/>
      <c r="B811" s="27"/>
      <c r="C811" s="27"/>
      <c r="D811" s="27"/>
      <c r="E811" s="27"/>
      <c r="F811" s="27"/>
      <c r="G811" s="27"/>
      <c r="H811" s="7" t="n">
        <f aca="false">IFERROR(IF(D811="JPY",E811*$I$3,IF(D811="USD",E811*$J$3,E811)),"")</f>
        <v>0</v>
      </c>
    </row>
    <row r="812" customFormat="false" ht="15" hidden="false" customHeight="false" outlineLevel="0" collapsed="false">
      <c r="A812" s="27"/>
      <c r="B812" s="27"/>
      <c r="C812" s="27"/>
      <c r="D812" s="27"/>
      <c r="E812" s="27"/>
      <c r="F812" s="27"/>
      <c r="G812" s="27"/>
      <c r="H812" s="7" t="n">
        <f aca="false">IFERROR(IF(D812="JPY",E812*$I$3,IF(D812="USD",E812*$J$3,E812)),"")</f>
        <v>0</v>
      </c>
    </row>
    <row r="813" customFormat="false" ht="15" hidden="false" customHeight="false" outlineLevel="0" collapsed="false">
      <c r="A813" s="27"/>
      <c r="B813" s="27"/>
      <c r="C813" s="27"/>
      <c r="D813" s="27"/>
      <c r="E813" s="27"/>
      <c r="F813" s="27"/>
      <c r="G813" s="27"/>
      <c r="H813" s="7" t="n">
        <f aca="false">IFERROR(IF(D813="JPY",E813*$I$3,IF(D813="USD",E813*$J$3,E813)),"")</f>
        <v>0</v>
      </c>
    </row>
    <row r="814" customFormat="false" ht="15" hidden="false" customHeight="false" outlineLevel="0" collapsed="false">
      <c r="A814" s="27"/>
      <c r="B814" s="27"/>
      <c r="C814" s="27"/>
      <c r="D814" s="27"/>
      <c r="E814" s="27"/>
      <c r="F814" s="27"/>
      <c r="G814" s="27"/>
      <c r="H814" s="7" t="n">
        <f aca="false">IFERROR(IF(D814="JPY",E814*$I$3,IF(D814="USD",E814*$J$3,E814)),"")</f>
        <v>0</v>
      </c>
    </row>
    <row r="815" customFormat="false" ht="15" hidden="false" customHeight="false" outlineLevel="0" collapsed="false">
      <c r="A815" s="27"/>
      <c r="B815" s="27"/>
      <c r="C815" s="27"/>
      <c r="D815" s="27"/>
      <c r="E815" s="27"/>
      <c r="F815" s="27"/>
      <c r="G815" s="27"/>
      <c r="H815" s="7" t="n">
        <f aca="false">IFERROR(IF(D815="JPY",E815*$I$3,IF(D815="USD",E815*$J$3,E815)),"")</f>
        <v>0</v>
      </c>
    </row>
    <row r="816" customFormat="false" ht="15" hidden="false" customHeight="false" outlineLevel="0" collapsed="false">
      <c r="A816" s="27"/>
      <c r="B816" s="27"/>
      <c r="C816" s="27"/>
      <c r="D816" s="27"/>
      <c r="E816" s="27"/>
      <c r="F816" s="27"/>
      <c r="G816" s="27"/>
      <c r="H816" s="7" t="n">
        <f aca="false">IFERROR(IF(D816="JPY",E816*$I$3,IF(D816="USD",E816*$J$3,E816)),"")</f>
        <v>0</v>
      </c>
    </row>
    <row r="817" customFormat="false" ht="15" hidden="false" customHeight="false" outlineLevel="0" collapsed="false">
      <c r="A817" s="27"/>
      <c r="B817" s="27"/>
      <c r="C817" s="27"/>
      <c r="D817" s="27"/>
      <c r="E817" s="27"/>
      <c r="F817" s="27"/>
      <c r="G817" s="27"/>
      <c r="H817" s="7" t="n">
        <f aca="false">IFERROR(IF(D817="JPY",E817*$I$3,IF(D817="USD",E817*$J$3,E817)),"")</f>
        <v>0</v>
      </c>
    </row>
    <row r="818" customFormat="false" ht="15" hidden="false" customHeight="false" outlineLevel="0" collapsed="false">
      <c r="A818" s="27"/>
      <c r="B818" s="27"/>
      <c r="C818" s="27"/>
      <c r="D818" s="27"/>
      <c r="E818" s="27"/>
      <c r="F818" s="27"/>
      <c r="G818" s="27"/>
      <c r="H818" s="7" t="n">
        <f aca="false">IFERROR(IF(D818="JPY",E818*$I$3,IF(D818="USD",E818*$J$3,E818)),"")</f>
        <v>0</v>
      </c>
    </row>
    <row r="819" customFormat="false" ht="15" hidden="false" customHeight="false" outlineLevel="0" collapsed="false">
      <c r="A819" s="27"/>
      <c r="B819" s="27"/>
      <c r="C819" s="27"/>
      <c r="D819" s="27"/>
      <c r="E819" s="27"/>
      <c r="F819" s="27"/>
      <c r="G819" s="27"/>
      <c r="H819" s="7" t="n">
        <f aca="false">IFERROR(IF(D819="JPY",E819*$I$3,IF(D819="USD",E819*$J$3,E819)),"")</f>
        <v>0</v>
      </c>
    </row>
    <row r="820" customFormat="false" ht="15" hidden="false" customHeight="false" outlineLevel="0" collapsed="false">
      <c r="A820" s="27"/>
      <c r="B820" s="27"/>
      <c r="C820" s="27"/>
      <c r="D820" s="27"/>
      <c r="E820" s="27"/>
      <c r="F820" s="27"/>
      <c r="G820" s="27"/>
      <c r="H820" s="7" t="n">
        <f aca="false">IFERROR(IF(D820="JPY",E820*$I$3,IF(D820="USD",E820*$J$3,E820)),"")</f>
        <v>0</v>
      </c>
    </row>
    <row r="821" customFormat="false" ht="15" hidden="false" customHeight="false" outlineLevel="0" collapsed="false">
      <c r="A821" s="27"/>
      <c r="B821" s="27"/>
      <c r="C821" s="27"/>
      <c r="D821" s="27"/>
      <c r="E821" s="27"/>
      <c r="F821" s="27"/>
      <c r="G821" s="27"/>
      <c r="H821" s="7" t="n">
        <f aca="false">IFERROR(IF(D821="JPY",E821*$I$3,IF(D821="USD",E821*$J$3,E821)),"")</f>
        <v>0</v>
      </c>
    </row>
    <row r="822" customFormat="false" ht="15" hidden="false" customHeight="false" outlineLevel="0" collapsed="false">
      <c r="A822" s="27"/>
      <c r="B822" s="27"/>
      <c r="C822" s="27"/>
      <c r="D822" s="27"/>
      <c r="E822" s="27"/>
      <c r="F822" s="27"/>
      <c r="G822" s="27"/>
      <c r="H822" s="7" t="n">
        <f aca="false">IFERROR(IF(D822="JPY",E822*$I$3,IF(D822="USD",E822*$J$3,E822)),"")</f>
        <v>0</v>
      </c>
    </row>
    <row r="823" customFormat="false" ht="15" hidden="false" customHeight="false" outlineLevel="0" collapsed="false">
      <c r="A823" s="27"/>
      <c r="B823" s="27"/>
      <c r="C823" s="27"/>
      <c r="D823" s="27"/>
      <c r="E823" s="27"/>
      <c r="F823" s="27"/>
      <c r="G823" s="27"/>
      <c r="H823" s="7" t="n">
        <f aca="false">IFERROR(IF(D823="JPY",E823*$I$3,IF(D823="USD",E823*$J$3,E823)),"")</f>
        <v>0</v>
      </c>
    </row>
    <row r="824" customFormat="false" ht="15" hidden="false" customHeight="false" outlineLevel="0" collapsed="false">
      <c r="A824" s="27"/>
      <c r="B824" s="27"/>
      <c r="C824" s="27"/>
      <c r="D824" s="27"/>
      <c r="E824" s="27"/>
      <c r="F824" s="27"/>
      <c r="G824" s="27"/>
      <c r="H824" s="7" t="n">
        <f aca="false">IFERROR(IF(D824="JPY",E824*$I$3,IF(D824="USD",E824*$J$3,E824)),"")</f>
        <v>0</v>
      </c>
    </row>
    <row r="825" customFormat="false" ht="15" hidden="false" customHeight="false" outlineLevel="0" collapsed="false">
      <c r="A825" s="27"/>
      <c r="B825" s="27"/>
      <c r="C825" s="27"/>
      <c r="D825" s="27"/>
      <c r="E825" s="27"/>
      <c r="F825" s="27"/>
      <c r="G825" s="27"/>
      <c r="H825" s="7" t="n">
        <f aca="false">IFERROR(IF(D825="JPY",E825*$I$3,IF(D825="USD",E825*$J$3,E825)),"")</f>
        <v>0</v>
      </c>
    </row>
    <row r="826" customFormat="false" ht="15" hidden="false" customHeight="false" outlineLevel="0" collapsed="false">
      <c r="A826" s="27"/>
      <c r="B826" s="27"/>
      <c r="C826" s="27"/>
      <c r="D826" s="27"/>
      <c r="E826" s="27"/>
      <c r="F826" s="27"/>
      <c r="G826" s="27"/>
      <c r="H826" s="7" t="n">
        <f aca="false">IFERROR(IF(D826="JPY",E826*$I$3,IF(D826="USD",E826*$J$3,E826)),"")</f>
        <v>0</v>
      </c>
    </row>
    <row r="827" customFormat="false" ht="15" hidden="false" customHeight="false" outlineLevel="0" collapsed="false">
      <c r="A827" s="27"/>
      <c r="B827" s="27"/>
      <c r="C827" s="27"/>
      <c r="D827" s="27"/>
      <c r="E827" s="27"/>
      <c r="F827" s="27"/>
      <c r="G827" s="27"/>
      <c r="H827" s="7" t="n">
        <f aca="false">IFERROR(IF(D827="JPY",E827*$I$3,IF(D827="USD",E827*$J$3,E827)),"")</f>
        <v>0</v>
      </c>
    </row>
    <row r="828" customFormat="false" ht="15" hidden="false" customHeight="false" outlineLevel="0" collapsed="false">
      <c r="A828" s="27"/>
      <c r="B828" s="27"/>
      <c r="C828" s="27"/>
      <c r="D828" s="27"/>
      <c r="E828" s="27"/>
      <c r="F828" s="27"/>
      <c r="G828" s="27"/>
      <c r="H828" s="7" t="n">
        <f aca="false">IFERROR(IF(D828="JPY",E828*$I$3,IF(D828="USD",E828*$J$3,E828)),"")</f>
        <v>0</v>
      </c>
    </row>
    <row r="829" customFormat="false" ht="15" hidden="false" customHeight="false" outlineLevel="0" collapsed="false">
      <c r="A829" s="27"/>
      <c r="B829" s="27"/>
      <c r="C829" s="27"/>
      <c r="D829" s="27"/>
      <c r="E829" s="27"/>
      <c r="F829" s="27"/>
      <c r="G829" s="27"/>
      <c r="H829" s="7" t="n">
        <f aca="false">IFERROR(IF(D829="JPY",E829*$I$3,IF(D829="USD",E829*$J$3,E829)),"")</f>
        <v>0</v>
      </c>
    </row>
    <row r="830" customFormat="false" ht="15" hidden="false" customHeight="false" outlineLevel="0" collapsed="false">
      <c r="A830" s="27"/>
      <c r="B830" s="27"/>
      <c r="C830" s="27"/>
      <c r="D830" s="27"/>
      <c r="E830" s="27"/>
      <c r="F830" s="27"/>
      <c r="G830" s="27"/>
      <c r="H830" s="7" t="n">
        <f aca="false">IFERROR(IF(D830="JPY",E830*$I$3,IF(D830="USD",E830*$J$3,E830)),"")</f>
        <v>0</v>
      </c>
    </row>
    <row r="831" customFormat="false" ht="15" hidden="false" customHeight="false" outlineLevel="0" collapsed="false">
      <c r="A831" s="27"/>
      <c r="B831" s="27"/>
      <c r="C831" s="27"/>
      <c r="D831" s="27"/>
      <c r="E831" s="27"/>
      <c r="F831" s="27"/>
      <c r="G831" s="27"/>
      <c r="H831" s="7" t="n">
        <f aca="false">IFERROR(IF(D831="JPY",E831*$I$3,IF(D831="USD",E831*$J$3,E831)),"")</f>
        <v>0</v>
      </c>
    </row>
    <row r="832" customFormat="false" ht="15" hidden="false" customHeight="false" outlineLevel="0" collapsed="false">
      <c r="A832" s="27"/>
      <c r="B832" s="27"/>
      <c r="C832" s="27"/>
      <c r="D832" s="27"/>
      <c r="E832" s="27"/>
      <c r="F832" s="27"/>
      <c r="G832" s="27"/>
      <c r="H832" s="7" t="n">
        <f aca="false">IFERROR(IF(D832="JPY",E832*$I$3,IF(D832="USD",E832*$J$3,E832)),"")</f>
        <v>0</v>
      </c>
    </row>
    <row r="833" customFormat="false" ht="15" hidden="false" customHeight="false" outlineLevel="0" collapsed="false">
      <c r="A833" s="27"/>
      <c r="B833" s="27"/>
      <c r="C833" s="27"/>
      <c r="D833" s="27"/>
      <c r="E833" s="27"/>
      <c r="F833" s="27"/>
      <c r="G833" s="27"/>
      <c r="H833" s="7" t="n">
        <f aca="false">IFERROR(IF(D833="JPY",E833*$I$3,IF(D833="USD",E833*$J$3,E833)),"")</f>
        <v>0</v>
      </c>
    </row>
    <row r="834" customFormat="false" ht="15" hidden="false" customHeight="false" outlineLevel="0" collapsed="false">
      <c r="A834" s="27"/>
      <c r="B834" s="27"/>
      <c r="C834" s="27"/>
      <c r="D834" s="27"/>
      <c r="E834" s="27"/>
      <c r="F834" s="27"/>
      <c r="G834" s="27"/>
      <c r="H834" s="7" t="n">
        <f aca="false">IFERROR(IF(D834="JPY",E834*$I$3,IF(D834="USD",E834*$J$3,E834)),"")</f>
        <v>0</v>
      </c>
    </row>
    <row r="835" customFormat="false" ht="15" hidden="false" customHeight="false" outlineLevel="0" collapsed="false">
      <c r="A835" s="27"/>
      <c r="B835" s="27"/>
      <c r="C835" s="27"/>
      <c r="D835" s="27"/>
      <c r="E835" s="27"/>
      <c r="F835" s="27"/>
      <c r="G835" s="27"/>
      <c r="H835" s="7" t="n">
        <f aca="false">IFERROR(IF(D835="JPY",E835*$I$3,IF(D835="USD",E835*$J$3,E835)),"")</f>
        <v>0</v>
      </c>
    </row>
    <row r="836" customFormat="false" ht="15" hidden="false" customHeight="false" outlineLevel="0" collapsed="false">
      <c r="A836" s="27"/>
      <c r="B836" s="27"/>
      <c r="C836" s="27"/>
      <c r="D836" s="27"/>
      <c r="E836" s="27"/>
      <c r="F836" s="27"/>
      <c r="G836" s="27"/>
      <c r="H836" s="7" t="n">
        <f aca="false">IFERROR(IF(D836="JPY",E836*$I$3,IF(D836="USD",E836*$J$3,E836)),"")</f>
        <v>0</v>
      </c>
    </row>
    <row r="837" customFormat="false" ht="15" hidden="false" customHeight="false" outlineLevel="0" collapsed="false">
      <c r="A837" s="27"/>
      <c r="B837" s="27"/>
      <c r="C837" s="27"/>
      <c r="D837" s="27"/>
      <c r="E837" s="27"/>
      <c r="F837" s="27"/>
      <c r="G837" s="27"/>
      <c r="H837" s="7" t="n">
        <f aca="false">IFERROR(IF(D837="JPY",E837*$I$3,IF(D837="USD",E837*$J$3,E837)),"")</f>
        <v>0</v>
      </c>
    </row>
    <row r="838" customFormat="false" ht="15" hidden="false" customHeight="false" outlineLevel="0" collapsed="false">
      <c r="A838" s="27"/>
      <c r="B838" s="27"/>
      <c r="C838" s="27"/>
      <c r="D838" s="27"/>
      <c r="E838" s="27"/>
      <c r="F838" s="27"/>
      <c r="G838" s="27"/>
      <c r="H838" s="7" t="n">
        <f aca="false">IFERROR(IF(D838="JPY",E838*$I$3,IF(D838="USD",E838*$J$3,E838)),"")</f>
        <v>0</v>
      </c>
    </row>
    <row r="839" customFormat="false" ht="15" hidden="false" customHeight="false" outlineLevel="0" collapsed="false">
      <c r="A839" s="27"/>
      <c r="B839" s="27"/>
      <c r="C839" s="27"/>
      <c r="D839" s="27"/>
      <c r="E839" s="27"/>
      <c r="F839" s="27"/>
      <c r="G839" s="27"/>
      <c r="H839" s="7" t="n">
        <f aca="false">IFERROR(IF(D839="JPY",E839*$I$3,IF(D839="USD",E839*$J$3,E839)),"")</f>
        <v>0</v>
      </c>
    </row>
    <row r="840" customFormat="false" ht="15" hidden="false" customHeight="false" outlineLevel="0" collapsed="false">
      <c r="A840" s="27"/>
      <c r="B840" s="27"/>
      <c r="C840" s="27"/>
      <c r="D840" s="27"/>
      <c r="E840" s="27"/>
      <c r="F840" s="27"/>
      <c r="G840" s="27"/>
      <c r="H840" s="7" t="n">
        <f aca="false">IFERROR(IF(D840="JPY",E840*$I$3,IF(D840="USD",E840*$J$3,E840)),"")</f>
        <v>0</v>
      </c>
    </row>
    <row r="841" customFormat="false" ht="15" hidden="false" customHeight="false" outlineLevel="0" collapsed="false">
      <c r="A841" s="27"/>
      <c r="B841" s="27"/>
      <c r="C841" s="27"/>
      <c r="D841" s="27"/>
      <c r="E841" s="27"/>
      <c r="F841" s="27"/>
      <c r="G841" s="27"/>
      <c r="H841" s="7" t="n">
        <f aca="false">IFERROR(IF(D841="JPY",E841*$I$3,IF(D841="USD",E841*$J$3,E841)),"")</f>
        <v>0</v>
      </c>
    </row>
    <row r="842" customFormat="false" ht="15" hidden="false" customHeight="false" outlineLevel="0" collapsed="false">
      <c r="A842" s="27"/>
      <c r="B842" s="27"/>
      <c r="C842" s="27"/>
      <c r="D842" s="27"/>
      <c r="E842" s="27"/>
      <c r="F842" s="27"/>
      <c r="G842" s="27"/>
      <c r="H842" s="7" t="n">
        <f aca="false">IFERROR(IF(D842="JPY",E842*$I$3,IF(D842="USD",E842*$J$3,E842)),"")</f>
        <v>0</v>
      </c>
    </row>
    <row r="843" customFormat="false" ht="15" hidden="false" customHeight="false" outlineLevel="0" collapsed="false">
      <c r="A843" s="27"/>
      <c r="B843" s="27"/>
      <c r="C843" s="27"/>
      <c r="D843" s="27"/>
      <c r="E843" s="27"/>
      <c r="F843" s="27"/>
      <c r="G843" s="27"/>
      <c r="H843" s="7" t="n">
        <f aca="false">IFERROR(IF(D843="JPY",E843*$I$3,IF(D843="USD",E843*$J$3,E843)),"")</f>
        <v>0</v>
      </c>
    </row>
    <row r="844" customFormat="false" ht="15" hidden="false" customHeight="false" outlineLevel="0" collapsed="false">
      <c r="A844" s="27"/>
      <c r="B844" s="27"/>
      <c r="C844" s="27"/>
      <c r="D844" s="27"/>
      <c r="E844" s="27"/>
      <c r="F844" s="27"/>
      <c r="G844" s="27"/>
      <c r="H844" s="7" t="n">
        <f aca="false">IFERROR(IF(D844="JPY",E844*$I$3,IF(D844="USD",E844*$J$3,E844)),"")</f>
        <v>0</v>
      </c>
    </row>
    <row r="845" customFormat="false" ht="15" hidden="false" customHeight="false" outlineLevel="0" collapsed="false">
      <c r="A845" s="27"/>
      <c r="B845" s="27"/>
      <c r="C845" s="27"/>
      <c r="D845" s="27"/>
      <c r="E845" s="27"/>
      <c r="F845" s="27"/>
      <c r="G845" s="27"/>
      <c r="H845" s="7" t="n">
        <f aca="false">IFERROR(IF(D845="JPY",E845*$I$3,IF(D845="USD",E845*$J$3,E845)),"")</f>
        <v>0</v>
      </c>
    </row>
    <row r="846" customFormat="false" ht="15" hidden="false" customHeight="false" outlineLevel="0" collapsed="false">
      <c r="A846" s="27"/>
      <c r="B846" s="27"/>
      <c r="C846" s="27"/>
      <c r="D846" s="27"/>
      <c r="E846" s="27"/>
      <c r="F846" s="27"/>
      <c r="G846" s="27"/>
      <c r="H846" s="7" t="n">
        <f aca="false">IFERROR(IF(D846="JPY",E846*$I$3,IF(D846="USD",E846*$J$3,E846)),"")</f>
        <v>0</v>
      </c>
    </row>
    <row r="847" customFormat="false" ht="15" hidden="false" customHeight="false" outlineLevel="0" collapsed="false">
      <c r="A847" s="27"/>
      <c r="B847" s="27"/>
      <c r="C847" s="27"/>
      <c r="D847" s="27"/>
      <c r="E847" s="27"/>
      <c r="F847" s="27"/>
      <c r="G847" s="27"/>
      <c r="H847" s="7" t="n">
        <f aca="false">IFERROR(IF(D847="JPY",E847*$I$3,IF(D847="USD",E847*$J$3,E847)),"")</f>
        <v>0</v>
      </c>
    </row>
    <row r="848" customFormat="false" ht="15" hidden="false" customHeight="false" outlineLevel="0" collapsed="false">
      <c r="A848" s="27"/>
      <c r="B848" s="27"/>
      <c r="C848" s="27"/>
      <c r="D848" s="27"/>
      <c r="E848" s="27"/>
      <c r="F848" s="27"/>
      <c r="G848" s="27"/>
      <c r="H848" s="7" t="n">
        <f aca="false">IFERROR(IF(D848="JPY",E848*$I$3,IF(D848="USD",E848*$J$3,E848)),"")</f>
        <v>0</v>
      </c>
    </row>
    <row r="849" customFormat="false" ht="15" hidden="false" customHeight="false" outlineLevel="0" collapsed="false">
      <c r="A849" s="27"/>
      <c r="B849" s="27"/>
      <c r="C849" s="27"/>
      <c r="D849" s="27"/>
      <c r="E849" s="27"/>
      <c r="F849" s="27"/>
      <c r="G849" s="27"/>
      <c r="H849" s="7" t="n">
        <f aca="false">IFERROR(IF(D849="JPY",E849*$I$3,IF(D849="USD",E849*$J$3,E849)),"")</f>
        <v>0</v>
      </c>
    </row>
    <row r="850" customFormat="false" ht="15" hidden="false" customHeight="false" outlineLevel="0" collapsed="false">
      <c r="A850" s="27"/>
      <c r="B850" s="27"/>
      <c r="C850" s="27"/>
      <c r="D850" s="27"/>
      <c r="E850" s="27"/>
      <c r="F850" s="27"/>
      <c r="G850" s="27"/>
      <c r="H850" s="7" t="n">
        <f aca="false">IFERROR(IF(D850="JPY",E850*$I$3,IF(D850="USD",E850*$J$3,E850)),"")</f>
        <v>0</v>
      </c>
    </row>
    <row r="851" customFormat="false" ht="15" hidden="false" customHeight="false" outlineLevel="0" collapsed="false">
      <c r="A851" s="27"/>
      <c r="B851" s="27"/>
      <c r="C851" s="27"/>
      <c r="D851" s="27"/>
      <c r="E851" s="27"/>
      <c r="F851" s="27"/>
      <c r="G851" s="27"/>
      <c r="H851" s="7" t="n">
        <f aca="false">IFERROR(IF(D851="JPY",E851*$I$3,IF(D851="USD",E851*$J$3,E851)),"")</f>
        <v>0</v>
      </c>
    </row>
    <row r="852" customFormat="false" ht="15" hidden="false" customHeight="false" outlineLevel="0" collapsed="false">
      <c r="A852" s="27"/>
      <c r="B852" s="27"/>
      <c r="C852" s="27"/>
      <c r="D852" s="27"/>
      <c r="E852" s="27"/>
      <c r="F852" s="27"/>
      <c r="G852" s="27"/>
      <c r="H852" s="7" t="n">
        <f aca="false">IFERROR(IF(D852="JPY",E852*$I$3,IF(D852="USD",E852*$J$3,E852)),"")</f>
        <v>0</v>
      </c>
    </row>
    <row r="853" customFormat="false" ht="15" hidden="false" customHeight="false" outlineLevel="0" collapsed="false">
      <c r="A853" s="27"/>
      <c r="B853" s="27"/>
      <c r="C853" s="27"/>
      <c r="D853" s="27"/>
      <c r="E853" s="27"/>
      <c r="F853" s="27"/>
      <c r="G853" s="27"/>
      <c r="H853" s="7" t="n">
        <f aca="false">IFERROR(IF(D853="JPY",E853*$I$3,IF(D853="USD",E853*$J$3,E853)),"")</f>
        <v>0</v>
      </c>
    </row>
    <row r="854" customFormat="false" ht="15" hidden="false" customHeight="false" outlineLevel="0" collapsed="false">
      <c r="A854" s="27"/>
      <c r="B854" s="27"/>
      <c r="C854" s="27"/>
      <c r="D854" s="27"/>
      <c r="E854" s="27"/>
      <c r="F854" s="27"/>
      <c r="G854" s="27"/>
      <c r="H854" s="7" t="n">
        <f aca="false">IFERROR(IF(D854="JPY",E854*$I$3,IF(D854="USD",E854*$J$3,E854)),"")</f>
        <v>0</v>
      </c>
    </row>
    <row r="855" customFormat="false" ht="15" hidden="false" customHeight="false" outlineLevel="0" collapsed="false">
      <c r="A855" s="27"/>
      <c r="B855" s="27"/>
      <c r="C855" s="27"/>
      <c r="D855" s="27"/>
      <c r="E855" s="27"/>
      <c r="F855" s="27"/>
      <c r="G855" s="27"/>
      <c r="H855" s="7" t="n">
        <f aca="false">IFERROR(IF(D855="JPY",E855*$I$3,IF(D855="USD",E855*$J$3,E855)),"")</f>
        <v>0</v>
      </c>
    </row>
    <row r="856" customFormat="false" ht="15" hidden="false" customHeight="false" outlineLevel="0" collapsed="false">
      <c r="A856" s="27"/>
      <c r="B856" s="27"/>
      <c r="C856" s="27"/>
      <c r="D856" s="27"/>
      <c r="E856" s="27"/>
      <c r="F856" s="27"/>
      <c r="G856" s="27"/>
      <c r="H856" s="7" t="n">
        <f aca="false">IFERROR(IF(D856="JPY",E856*$I$3,IF(D856="USD",E856*$J$3,E856)),"")</f>
        <v>0</v>
      </c>
    </row>
    <row r="857" customFormat="false" ht="15" hidden="false" customHeight="false" outlineLevel="0" collapsed="false">
      <c r="A857" s="27"/>
      <c r="B857" s="27"/>
      <c r="C857" s="27"/>
      <c r="D857" s="27"/>
      <c r="E857" s="27"/>
      <c r="F857" s="27"/>
      <c r="G857" s="27"/>
      <c r="H857" s="7" t="n">
        <f aca="false">IFERROR(IF(D857="JPY",E857*$I$3,IF(D857="USD",E857*$J$3,E857)),"")</f>
        <v>0</v>
      </c>
    </row>
    <row r="858" customFormat="false" ht="15" hidden="false" customHeight="false" outlineLevel="0" collapsed="false">
      <c r="A858" s="27"/>
      <c r="B858" s="27"/>
      <c r="C858" s="27"/>
      <c r="D858" s="27"/>
      <c r="E858" s="27"/>
      <c r="F858" s="27"/>
      <c r="G858" s="27"/>
      <c r="H858" s="7" t="n">
        <f aca="false">IFERROR(IF(D858="JPY",E858*$I$3,IF(D858="USD",E858*$J$3,E858)),"")</f>
        <v>0</v>
      </c>
    </row>
    <row r="859" customFormat="false" ht="15" hidden="false" customHeight="false" outlineLevel="0" collapsed="false">
      <c r="A859" s="27"/>
      <c r="B859" s="27"/>
      <c r="C859" s="27"/>
      <c r="D859" s="27"/>
      <c r="E859" s="27"/>
      <c r="F859" s="27"/>
      <c r="G859" s="27"/>
      <c r="H859" s="7" t="n">
        <f aca="false">IFERROR(IF(D859="JPY",E859*$I$3,IF(D859="USD",E859*$J$3,E859)),"")</f>
        <v>0</v>
      </c>
    </row>
    <row r="860" customFormat="false" ht="15" hidden="false" customHeight="false" outlineLevel="0" collapsed="false">
      <c r="A860" s="27"/>
      <c r="B860" s="27"/>
      <c r="C860" s="27"/>
      <c r="D860" s="27"/>
      <c r="E860" s="27"/>
      <c r="F860" s="27"/>
      <c r="G860" s="27"/>
      <c r="H860" s="7" t="n">
        <f aca="false">IFERROR(IF(D860="JPY",E860*$I$3,IF(D860="USD",E860*$J$3,E860)),"")</f>
        <v>0</v>
      </c>
    </row>
    <row r="861" customFormat="false" ht="15" hidden="false" customHeight="false" outlineLevel="0" collapsed="false">
      <c r="A861" s="27"/>
      <c r="B861" s="27"/>
      <c r="C861" s="27"/>
      <c r="D861" s="27"/>
      <c r="E861" s="27"/>
      <c r="F861" s="27"/>
      <c r="G861" s="27"/>
      <c r="H861" s="7" t="n">
        <f aca="false">IFERROR(IF(D861="JPY",E861*$I$3,IF(D861="USD",E861*$J$3,E861)),"")</f>
        <v>0</v>
      </c>
    </row>
    <row r="862" customFormat="false" ht="15" hidden="false" customHeight="false" outlineLevel="0" collapsed="false">
      <c r="A862" s="27"/>
      <c r="B862" s="27"/>
      <c r="C862" s="27"/>
      <c r="D862" s="27"/>
      <c r="E862" s="27"/>
      <c r="F862" s="27"/>
      <c r="G862" s="27"/>
      <c r="H862" s="7" t="n">
        <f aca="false">IFERROR(IF(D862="JPY",E862*$I$3,IF(D862="USD",E862*$J$3,E862)),"")</f>
        <v>0</v>
      </c>
    </row>
    <row r="863" customFormat="false" ht="15" hidden="false" customHeight="false" outlineLevel="0" collapsed="false">
      <c r="A863" s="27"/>
      <c r="B863" s="27"/>
      <c r="C863" s="27"/>
      <c r="D863" s="27"/>
      <c r="E863" s="27"/>
      <c r="F863" s="27"/>
      <c r="G863" s="27"/>
      <c r="H863" s="7" t="n">
        <f aca="false">IFERROR(IF(D863="JPY",E863*$I$3,IF(D863="USD",E863*$J$3,E863)),"")</f>
        <v>0</v>
      </c>
    </row>
    <row r="864" customFormat="false" ht="15" hidden="false" customHeight="false" outlineLevel="0" collapsed="false">
      <c r="A864" s="27"/>
      <c r="B864" s="27"/>
      <c r="C864" s="27"/>
      <c r="D864" s="27"/>
      <c r="E864" s="27"/>
      <c r="F864" s="27"/>
      <c r="G864" s="27"/>
      <c r="H864" s="7" t="n">
        <f aca="false">IFERROR(IF(D864="JPY",E864*$I$3,IF(D864="USD",E864*$J$3,E864)),"")</f>
        <v>0</v>
      </c>
    </row>
    <row r="865" customFormat="false" ht="15" hidden="false" customHeight="false" outlineLevel="0" collapsed="false">
      <c r="A865" s="27"/>
      <c r="B865" s="27"/>
      <c r="C865" s="27"/>
      <c r="D865" s="27"/>
      <c r="E865" s="27"/>
      <c r="F865" s="27"/>
      <c r="G865" s="27"/>
      <c r="H865" s="7" t="n">
        <f aca="false">IFERROR(IF(D865="JPY",E865*$I$3,IF(D865="USD",E865*$J$3,E865)),"")</f>
        <v>0</v>
      </c>
    </row>
    <row r="866" customFormat="false" ht="15" hidden="false" customHeight="false" outlineLevel="0" collapsed="false">
      <c r="A866" s="27"/>
      <c r="B866" s="27"/>
      <c r="C866" s="27"/>
      <c r="D866" s="27"/>
      <c r="E866" s="27"/>
      <c r="F866" s="27"/>
      <c r="G866" s="27"/>
      <c r="H866" s="7" t="n">
        <f aca="false">IFERROR(IF(D866="JPY",E866*$I$3,IF(D866="USD",E866*$J$3,E866)),"")</f>
        <v>0</v>
      </c>
    </row>
    <row r="867" customFormat="false" ht="15" hidden="false" customHeight="false" outlineLevel="0" collapsed="false">
      <c r="A867" s="27"/>
      <c r="B867" s="27"/>
      <c r="C867" s="27"/>
      <c r="D867" s="27"/>
      <c r="E867" s="27"/>
      <c r="F867" s="27"/>
      <c r="G867" s="27"/>
      <c r="H867" s="7" t="n">
        <f aca="false">IFERROR(IF(D867="JPY",E867*$I$3,IF(D867="USD",E867*$J$3,E867)),"")</f>
        <v>0</v>
      </c>
    </row>
    <row r="868" customFormat="false" ht="15" hidden="false" customHeight="false" outlineLevel="0" collapsed="false">
      <c r="A868" s="27"/>
      <c r="B868" s="27"/>
      <c r="C868" s="27"/>
      <c r="D868" s="27"/>
      <c r="E868" s="27"/>
      <c r="F868" s="27"/>
      <c r="G868" s="27"/>
      <c r="H868" s="7" t="n">
        <f aca="false">IFERROR(IF(D868="JPY",E868*$I$3,IF(D868="USD",E868*$J$3,E868)),"")</f>
        <v>0</v>
      </c>
    </row>
    <row r="869" customFormat="false" ht="15" hidden="false" customHeight="false" outlineLevel="0" collapsed="false">
      <c r="A869" s="27"/>
      <c r="B869" s="27"/>
      <c r="C869" s="27"/>
      <c r="D869" s="27"/>
      <c r="E869" s="27"/>
      <c r="F869" s="27"/>
      <c r="G869" s="27"/>
      <c r="H869" s="7" t="n">
        <f aca="false">IFERROR(IF(D869="JPY",E869*$I$3,IF(D869="USD",E869*$J$3,E869)),"")</f>
        <v>0</v>
      </c>
    </row>
    <row r="870" customFormat="false" ht="15" hidden="false" customHeight="false" outlineLevel="0" collapsed="false">
      <c r="A870" s="27"/>
      <c r="B870" s="27"/>
      <c r="C870" s="27"/>
      <c r="D870" s="27"/>
      <c r="E870" s="27"/>
      <c r="F870" s="27"/>
      <c r="G870" s="27"/>
      <c r="H870" s="7" t="n">
        <f aca="false">IFERROR(IF(D870="JPY",E870*$I$3,IF(D870="USD",E870*$J$3,E870)),"")</f>
        <v>0</v>
      </c>
    </row>
    <row r="871" customFormat="false" ht="15" hidden="false" customHeight="false" outlineLevel="0" collapsed="false">
      <c r="A871" s="27"/>
      <c r="B871" s="27"/>
      <c r="C871" s="27"/>
      <c r="D871" s="27"/>
      <c r="E871" s="27"/>
      <c r="F871" s="27"/>
      <c r="G871" s="27"/>
      <c r="H871" s="7" t="n">
        <f aca="false">IFERROR(IF(D871="JPY",E871*$I$3,IF(D871="USD",E871*$J$3,E871)),"")</f>
        <v>0</v>
      </c>
    </row>
    <row r="872" customFormat="false" ht="15" hidden="false" customHeight="false" outlineLevel="0" collapsed="false">
      <c r="A872" s="27"/>
      <c r="B872" s="27"/>
      <c r="C872" s="27"/>
      <c r="D872" s="27"/>
      <c r="E872" s="27"/>
      <c r="F872" s="27"/>
      <c r="G872" s="27"/>
      <c r="H872" s="7" t="n">
        <f aca="false">IFERROR(IF(D872="JPY",E872*$I$3,IF(D872="USD",E872*$J$3,E872)),"")</f>
        <v>0</v>
      </c>
    </row>
    <row r="873" customFormat="false" ht="15" hidden="false" customHeight="false" outlineLevel="0" collapsed="false">
      <c r="A873" s="27"/>
      <c r="B873" s="27"/>
      <c r="C873" s="27"/>
      <c r="D873" s="27"/>
      <c r="E873" s="27"/>
      <c r="F873" s="27"/>
      <c r="G873" s="27"/>
      <c r="H873" s="7" t="n">
        <f aca="false">IFERROR(IF(D873="JPY",E873*$I$3,IF(D873="USD",E873*$J$3,E873)),"")</f>
        <v>0</v>
      </c>
    </row>
    <row r="874" customFormat="false" ht="15" hidden="false" customHeight="false" outlineLevel="0" collapsed="false">
      <c r="A874" s="27"/>
      <c r="B874" s="27"/>
      <c r="C874" s="27"/>
      <c r="D874" s="27"/>
      <c r="E874" s="27"/>
      <c r="F874" s="27"/>
      <c r="G874" s="27"/>
      <c r="H874" s="7" t="n">
        <f aca="false">IFERROR(IF(D874="JPY",E874*$I$3,IF(D874="USD",E874*$J$3,E874)),"")</f>
        <v>0</v>
      </c>
    </row>
    <row r="875" customFormat="false" ht="15" hidden="false" customHeight="false" outlineLevel="0" collapsed="false">
      <c r="A875" s="27"/>
      <c r="B875" s="27"/>
      <c r="C875" s="27"/>
      <c r="D875" s="27"/>
      <c r="E875" s="27"/>
      <c r="F875" s="27"/>
      <c r="G875" s="27"/>
      <c r="H875" s="7" t="n">
        <f aca="false">IFERROR(IF(D875="JPY",E875*$I$3,IF(D875="USD",E875*$J$3,E875)),"")</f>
        <v>0</v>
      </c>
    </row>
    <row r="876" customFormat="false" ht="15" hidden="false" customHeight="false" outlineLevel="0" collapsed="false">
      <c r="A876" s="27"/>
      <c r="B876" s="27"/>
      <c r="C876" s="27"/>
      <c r="D876" s="27"/>
      <c r="E876" s="27"/>
      <c r="F876" s="27"/>
      <c r="G876" s="27"/>
      <c r="H876" s="7" t="n">
        <f aca="false">IFERROR(IF(D876="JPY",E876*$I$3,IF(D876="USD",E876*$J$3,E876)),"")</f>
        <v>0</v>
      </c>
    </row>
    <row r="877" customFormat="false" ht="15" hidden="false" customHeight="false" outlineLevel="0" collapsed="false">
      <c r="A877" s="27"/>
      <c r="B877" s="27"/>
      <c r="C877" s="27"/>
      <c r="D877" s="27"/>
      <c r="E877" s="27"/>
      <c r="F877" s="27"/>
      <c r="G877" s="27"/>
      <c r="H877" s="7" t="n">
        <f aca="false">IFERROR(IF(D877="JPY",E877*$I$3,IF(D877="USD",E877*$J$3,E877)),"")</f>
        <v>0</v>
      </c>
    </row>
    <row r="878" customFormat="false" ht="15" hidden="false" customHeight="false" outlineLevel="0" collapsed="false">
      <c r="A878" s="27"/>
      <c r="B878" s="27"/>
      <c r="C878" s="27"/>
      <c r="D878" s="27"/>
      <c r="E878" s="27"/>
      <c r="F878" s="27"/>
      <c r="G878" s="27"/>
      <c r="H878" s="7" t="n">
        <f aca="false">IFERROR(IF(D878="JPY",E878*$I$3,IF(D878="USD",E878*$J$3,E878)),"")</f>
        <v>0</v>
      </c>
    </row>
    <row r="879" customFormat="false" ht="15" hidden="false" customHeight="false" outlineLevel="0" collapsed="false">
      <c r="A879" s="27"/>
      <c r="B879" s="27"/>
      <c r="C879" s="27"/>
      <c r="D879" s="27"/>
      <c r="E879" s="27"/>
      <c r="F879" s="27"/>
      <c r="G879" s="27"/>
      <c r="H879" s="7" t="n">
        <f aca="false">IFERROR(IF(D879="JPY",E879*$I$3,IF(D879="USD",E879*$J$3,E879)),"")</f>
        <v>0</v>
      </c>
    </row>
    <row r="880" customFormat="false" ht="15" hidden="false" customHeight="false" outlineLevel="0" collapsed="false">
      <c r="A880" s="27"/>
      <c r="B880" s="27"/>
      <c r="C880" s="27"/>
      <c r="D880" s="27"/>
      <c r="E880" s="27"/>
      <c r="F880" s="27"/>
      <c r="G880" s="27"/>
      <c r="H880" s="7" t="n">
        <f aca="false">IFERROR(IF(D880="JPY",E880*$I$3,IF(D880="USD",E880*$J$3,E880)),"")</f>
        <v>0</v>
      </c>
    </row>
    <row r="881" customFormat="false" ht="15" hidden="false" customHeight="false" outlineLevel="0" collapsed="false">
      <c r="A881" s="27"/>
      <c r="B881" s="27"/>
      <c r="C881" s="27"/>
      <c r="D881" s="27"/>
      <c r="E881" s="27"/>
      <c r="F881" s="27"/>
      <c r="G881" s="27"/>
      <c r="H881" s="7" t="n">
        <f aca="false">IFERROR(IF(D881="JPY",E881*$I$3,IF(D881="USD",E881*$J$3,E881)),"")</f>
        <v>0</v>
      </c>
    </row>
    <row r="882" customFormat="false" ht="15" hidden="false" customHeight="false" outlineLevel="0" collapsed="false">
      <c r="A882" s="27"/>
      <c r="B882" s="27"/>
      <c r="C882" s="27"/>
      <c r="D882" s="27"/>
      <c r="E882" s="27"/>
      <c r="F882" s="27"/>
      <c r="G882" s="27"/>
      <c r="H882" s="7" t="n">
        <f aca="false">IFERROR(IF(D882="JPY",E882*$I$3,IF(D882="USD",E882*$J$3,E882)),"")</f>
        <v>0</v>
      </c>
    </row>
    <row r="883" customFormat="false" ht="15" hidden="false" customHeight="false" outlineLevel="0" collapsed="false">
      <c r="A883" s="27"/>
      <c r="B883" s="27"/>
      <c r="C883" s="27"/>
      <c r="D883" s="27"/>
      <c r="E883" s="27"/>
      <c r="F883" s="27"/>
      <c r="G883" s="27"/>
      <c r="H883" s="7" t="n">
        <f aca="false">IFERROR(IF(D883="JPY",E883*$I$3,IF(D883="USD",E883*$J$3,E883)),"")</f>
        <v>0</v>
      </c>
    </row>
    <row r="884" customFormat="false" ht="15" hidden="false" customHeight="false" outlineLevel="0" collapsed="false">
      <c r="A884" s="27"/>
      <c r="B884" s="27"/>
      <c r="C884" s="27"/>
      <c r="D884" s="27"/>
      <c r="E884" s="27"/>
      <c r="F884" s="27"/>
      <c r="G884" s="27"/>
      <c r="H884" s="7" t="n">
        <f aca="false">IFERROR(IF(D884="JPY",E884*$I$3,IF(D884="USD",E884*$J$3,E884)),"")</f>
        <v>0</v>
      </c>
    </row>
    <row r="885" customFormat="false" ht="15" hidden="false" customHeight="false" outlineLevel="0" collapsed="false">
      <c r="A885" s="27"/>
      <c r="B885" s="27"/>
      <c r="C885" s="27"/>
      <c r="D885" s="27"/>
      <c r="E885" s="27"/>
      <c r="F885" s="27"/>
      <c r="G885" s="27"/>
      <c r="H885" s="7" t="n">
        <f aca="false">IFERROR(IF(D885="JPY",E885*$I$3,IF(D885="USD",E885*$J$3,E885)),"")</f>
        <v>0</v>
      </c>
    </row>
    <row r="886" customFormat="false" ht="15" hidden="false" customHeight="false" outlineLevel="0" collapsed="false">
      <c r="A886" s="27"/>
      <c r="B886" s="27"/>
      <c r="C886" s="27"/>
      <c r="D886" s="27"/>
      <c r="E886" s="27"/>
      <c r="F886" s="27"/>
      <c r="G886" s="27"/>
      <c r="H886" s="7" t="n">
        <f aca="false">IFERROR(IF(D886="JPY",E886*$I$3,IF(D886="USD",E886*$J$3,E886)),"")</f>
        <v>0</v>
      </c>
    </row>
    <row r="887" customFormat="false" ht="15" hidden="false" customHeight="false" outlineLevel="0" collapsed="false">
      <c r="A887" s="27"/>
      <c r="B887" s="27"/>
      <c r="C887" s="27"/>
      <c r="D887" s="27"/>
      <c r="E887" s="27"/>
      <c r="F887" s="27"/>
      <c r="G887" s="27"/>
      <c r="H887" s="7" t="n">
        <f aca="false">IFERROR(IF(D887="JPY",E887*$I$3,IF(D887="USD",E887*$J$3,E887)),"")</f>
        <v>0</v>
      </c>
    </row>
    <row r="888" customFormat="false" ht="15" hidden="false" customHeight="false" outlineLevel="0" collapsed="false">
      <c r="A888" s="27"/>
      <c r="B888" s="27"/>
      <c r="C888" s="27"/>
      <c r="D888" s="27"/>
      <c r="E888" s="27"/>
      <c r="F888" s="27"/>
      <c r="G888" s="27"/>
      <c r="H888" s="7" t="n">
        <f aca="false">IFERROR(IF(D888="JPY",E888*$I$3,IF(D888="USD",E888*$J$3,E888)),"")</f>
        <v>0</v>
      </c>
    </row>
    <row r="889" customFormat="false" ht="15" hidden="false" customHeight="false" outlineLevel="0" collapsed="false">
      <c r="A889" s="27"/>
      <c r="B889" s="27"/>
      <c r="C889" s="27"/>
      <c r="D889" s="27"/>
      <c r="E889" s="27"/>
      <c r="F889" s="27"/>
      <c r="G889" s="27"/>
      <c r="H889" s="7" t="n">
        <f aca="false">IFERROR(IF(D889="JPY",E889*$I$3,IF(D889="USD",E889*$J$3,E889)),"")</f>
        <v>0</v>
      </c>
    </row>
    <row r="890" customFormat="false" ht="15" hidden="false" customHeight="false" outlineLevel="0" collapsed="false">
      <c r="A890" s="27"/>
      <c r="B890" s="27"/>
      <c r="C890" s="27"/>
      <c r="D890" s="27"/>
      <c r="E890" s="27"/>
      <c r="F890" s="27"/>
      <c r="G890" s="27"/>
      <c r="H890" s="7" t="n">
        <f aca="false">IFERROR(IF(D890="JPY",E890*$I$3,IF(D890="USD",E890*$J$3,E890)),"")</f>
        <v>0</v>
      </c>
    </row>
    <row r="891" customFormat="false" ht="15" hidden="false" customHeight="false" outlineLevel="0" collapsed="false">
      <c r="A891" s="27"/>
      <c r="B891" s="27"/>
      <c r="C891" s="27"/>
      <c r="D891" s="27"/>
      <c r="E891" s="27"/>
      <c r="F891" s="27"/>
      <c r="G891" s="27"/>
      <c r="H891" s="7" t="n">
        <f aca="false">IFERROR(IF(D891="JPY",E891*$I$3,IF(D891="USD",E891*$J$3,E891)),"")</f>
        <v>0</v>
      </c>
    </row>
    <row r="892" customFormat="false" ht="15" hidden="false" customHeight="false" outlineLevel="0" collapsed="false">
      <c r="A892" s="27"/>
      <c r="B892" s="27"/>
      <c r="C892" s="27"/>
      <c r="D892" s="27"/>
      <c r="E892" s="27"/>
      <c r="F892" s="27"/>
      <c r="G892" s="27"/>
      <c r="H892" s="7" t="n">
        <f aca="false">IFERROR(IF(D892="JPY",E892*$I$3,IF(D892="USD",E892*$J$3,E892)),"")</f>
        <v>0</v>
      </c>
    </row>
    <row r="893" customFormat="false" ht="15" hidden="false" customHeight="false" outlineLevel="0" collapsed="false">
      <c r="A893" s="27"/>
      <c r="B893" s="27"/>
      <c r="C893" s="27"/>
      <c r="D893" s="27"/>
      <c r="E893" s="27"/>
      <c r="F893" s="27"/>
      <c r="G893" s="27"/>
      <c r="H893" s="7" t="n">
        <f aca="false">IFERROR(IF(D893="JPY",E893*$I$3,IF(D893="USD",E893*$J$3,E893)),"")</f>
        <v>0</v>
      </c>
    </row>
    <row r="894" customFormat="false" ht="15" hidden="false" customHeight="false" outlineLevel="0" collapsed="false">
      <c r="A894" s="27"/>
      <c r="B894" s="27"/>
      <c r="C894" s="27"/>
      <c r="D894" s="27"/>
      <c r="E894" s="27"/>
      <c r="F894" s="27"/>
      <c r="G894" s="27"/>
      <c r="H894" s="7" t="n">
        <f aca="false">IFERROR(IF(D894="JPY",E894*$I$3,IF(D894="USD",E894*$J$3,E894)),"")</f>
        <v>0</v>
      </c>
    </row>
    <row r="895" customFormat="false" ht="15" hidden="false" customHeight="false" outlineLevel="0" collapsed="false">
      <c r="A895" s="27"/>
      <c r="B895" s="27"/>
      <c r="C895" s="27"/>
      <c r="D895" s="27"/>
      <c r="E895" s="27"/>
      <c r="F895" s="27"/>
      <c r="G895" s="27"/>
      <c r="H895" s="7" t="n">
        <f aca="false">IFERROR(IF(D895="JPY",E895*$I$3,IF(D895="USD",E895*$J$3,E895)),"")</f>
        <v>0</v>
      </c>
    </row>
    <row r="896" customFormat="false" ht="15" hidden="false" customHeight="false" outlineLevel="0" collapsed="false">
      <c r="A896" s="27"/>
      <c r="B896" s="27"/>
      <c r="C896" s="27"/>
      <c r="D896" s="27"/>
      <c r="E896" s="27"/>
      <c r="F896" s="27"/>
      <c r="G896" s="27"/>
      <c r="H896" s="7" t="n">
        <f aca="false">IFERROR(IF(D896="JPY",E896*$I$3,IF(D896="USD",E896*$J$3,E896)),"")</f>
        <v>0</v>
      </c>
    </row>
    <row r="897" customFormat="false" ht="15" hidden="false" customHeight="false" outlineLevel="0" collapsed="false">
      <c r="A897" s="27"/>
      <c r="B897" s="27"/>
      <c r="C897" s="27"/>
      <c r="D897" s="27"/>
      <c r="E897" s="27"/>
      <c r="F897" s="27"/>
      <c r="G897" s="27"/>
      <c r="H897" s="7" t="n">
        <f aca="false">IFERROR(IF(D897="JPY",E897*$I$3,IF(D897="USD",E897*$J$3,E897)),"")</f>
        <v>0</v>
      </c>
    </row>
    <row r="898" customFormat="false" ht="15" hidden="false" customHeight="false" outlineLevel="0" collapsed="false">
      <c r="A898" s="27"/>
      <c r="B898" s="27"/>
      <c r="C898" s="27"/>
      <c r="D898" s="27"/>
      <c r="E898" s="27"/>
      <c r="F898" s="27"/>
      <c r="G898" s="27"/>
      <c r="H898" s="7" t="n">
        <f aca="false">IFERROR(IF(D898="JPY",E898*$I$3,IF(D898="USD",E898*$J$3,E898)),"")</f>
        <v>0</v>
      </c>
    </row>
    <row r="899" customFormat="false" ht="15" hidden="false" customHeight="false" outlineLevel="0" collapsed="false">
      <c r="A899" s="27"/>
      <c r="B899" s="27"/>
      <c r="C899" s="27"/>
      <c r="D899" s="27"/>
      <c r="E899" s="27"/>
      <c r="F899" s="27"/>
      <c r="G899" s="27"/>
      <c r="H899" s="7" t="n">
        <f aca="false">IFERROR(IF(D899="JPY",E899*$I$3,IF(D899="USD",E899*$J$3,E899)),"")</f>
        <v>0</v>
      </c>
    </row>
    <row r="900" customFormat="false" ht="15" hidden="false" customHeight="false" outlineLevel="0" collapsed="false">
      <c r="A900" s="27"/>
      <c r="B900" s="27"/>
      <c r="C900" s="27"/>
      <c r="D900" s="27"/>
      <c r="E900" s="27"/>
      <c r="F900" s="27"/>
      <c r="G900" s="27"/>
      <c r="H900" s="7" t="n">
        <f aca="false">IFERROR(IF(D900="JPY",E900*$I$3,IF(D900="USD",E900*$J$3,E900)),"")</f>
        <v>0</v>
      </c>
    </row>
    <row r="901" customFormat="false" ht="15" hidden="false" customHeight="false" outlineLevel="0" collapsed="false">
      <c r="A901" s="27"/>
      <c r="B901" s="27"/>
      <c r="C901" s="27"/>
      <c r="D901" s="27"/>
      <c r="E901" s="27"/>
      <c r="F901" s="27"/>
      <c r="G901" s="27"/>
      <c r="H901" s="7" t="n">
        <f aca="false">IFERROR(IF(D901="JPY",E901*$I$3,IF(D901="USD",E901*$J$3,E901)),"")</f>
        <v>0</v>
      </c>
    </row>
    <row r="902" customFormat="false" ht="15" hidden="false" customHeight="false" outlineLevel="0" collapsed="false">
      <c r="A902" s="27"/>
      <c r="B902" s="27"/>
      <c r="C902" s="27"/>
      <c r="D902" s="27"/>
      <c r="E902" s="27"/>
      <c r="F902" s="27"/>
      <c r="G902" s="27"/>
      <c r="H902" s="7" t="n">
        <f aca="false">IFERROR(IF(D902="JPY",E902*$I$3,IF(D902="USD",E902*$J$3,E902)),"")</f>
        <v>0</v>
      </c>
    </row>
    <row r="903" customFormat="false" ht="15" hidden="false" customHeight="false" outlineLevel="0" collapsed="false">
      <c r="A903" s="27"/>
      <c r="B903" s="27"/>
      <c r="C903" s="27"/>
      <c r="D903" s="27"/>
      <c r="E903" s="27"/>
      <c r="F903" s="27"/>
      <c r="G903" s="27"/>
      <c r="H903" s="7" t="n">
        <f aca="false">IFERROR(IF(D903="JPY",E903*$I$3,IF(D903="USD",E903*$J$3,E903)),"")</f>
        <v>0</v>
      </c>
    </row>
    <row r="904" customFormat="false" ht="15" hidden="false" customHeight="false" outlineLevel="0" collapsed="false">
      <c r="A904" s="27"/>
      <c r="B904" s="27"/>
      <c r="C904" s="27"/>
      <c r="D904" s="27"/>
      <c r="E904" s="27"/>
      <c r="F904" s="27"/>
      <c r="G904" s="27"/>
      <c r="H904" s="7" t="n">
        <f aca="false">IFERROR(IF(D904="JPY",E904*$I$3,IF(D904="USD",E904*$J$3,E904)),"")</f>
        <v>0</v>
      </c>
    </row>
    <row r="905" customFormat="false" ht="15" hidden="false" customHeight="false" outlineLevel="0" collapsed="false">
      <c r="A905" s="27"/>
      <c r="B905" s="27"/>
      <c r="C905" s="27"/>
      <c r="D905" s="27"/>
      <c r="E905" s="27"/>
      <c r="F905" s="27"/>
      <c r="G905" s="27"/>
      <c r="H905" s="7" t="n">
        <f aca="false">IFERROR(IF(D905="JPY",E905*$I$3,IF(D905="USD",E905*$J$3,E905)),"")</f>
        <v>0</v>
      </c>
    </row>
    <row r="906" customFormat="false" ht="15" hidden="false" customHeight="false" outlineLevel="0" collapsed="false">
      <c r="A906" s="27"/>
      <c r="B906" s="27"/>
      <c r="C906" s="27"/>
      <c r="D906" s="27"/>
      <c r="E906" s="27"/>
      <c r="F906" s="27"/>
      <c r="G906" s="27"/>
      <c r="H906" s="7" t="n">
        <f aca="false">IFERROR(IF(D906="JPY",E906*$I$3,IF(D906="USD",E906*$J$3,E906)),"")</f>
        <v>0</v>
      </c>
    </row>
    <row r="907" customFormat="false" ht="15" hidden="false" customHeight="false" outlineLevel="0" collapsed="false">
      <c r="A907" s="27"/>
      <c r="B907" s="27"/>
      <c r="C907" s="27"/>
      <c r="D907" s="27"/>
      <c r="E907" s="27"/>
      <c r="F907" s="27"/>
      <c r="G907" s="27"/>
      <c r="H907" s="7" t="n">
        <f aca="false">IFERROR(IF(D907="JPY",E907*$I$3,IF(D907="USD",E907*$J$3,E907)),"")</f>
        <v>0</v>
      </c>
    </row>
    <row r="908" customFormat="false" ht="15" hidden="false" customHeight="false" outlineLevel="0" collapsed="false">
      <c r="A908" s="27"/>
      <c r="B908" s="27"/>
      <c r="C908" s="27"/>
      <c r="D908" s="27"/>
      <c r="E908" s="27"/>
      <c r="F908" s="27"/>
      <c r="G908" s="27"/>
      <c r="H908" s="7" t="n">
        <f aca="false">IFERROR(IF(D908="JPY",E908*$I$3,IF(D908="USD",E908*$J$3,E908)),"")</f>
        <v>0</v>
      </c>
    </row>
    <row r="909" customFormat="false" ht="15" hidden="false" customHeight="false" outlineLevel="0" collapsed="false">
      <c r="A909" s="27"/>
      <c r="B909" s="27"/>
      <c r="C909" s="27"/>
      <c r="D909" s="27"/>
      <c r="E909" s="27"/>
      <c r="F909" s="27"/>
      <c r="G909" s="27"/>
      <c r="H909" s="7" t="n">
        <f aca="false">IFERROR(IF(D909="JPY",E909*$I$3,IF(D909="USD",E909*$J$3,E909)),"")</f>
        <v>0</v>
      </c>
    </row>
    <row r="910" customFormat="false" ht="15" hidden="false" customHeight="false" outlineLevel="0" collapsed="false">
      <c r="A910" s="27"/>
      <c r="B910" s="27"/>
      <c r="C910" s="27"/>
      <c r="D910" s="27"/>
      <c r="E910" s="27"/>
      <c r="F910" s="27"/>
      <c r="G910" s="27"/>
      <c r="H910" s="7" t="n">
        <f aca="false">IFERROR(IF(D910="JPY",E910*$I$3,IF(D910="USD",E910*$J$3,E910)),"")</f>
        <v>0</v>
      </c>
    </row>
    <row r="911" customFormat="false" ht="15" hidden="false" customHeight="false" outlineLevel="0" collapsed="false">
      <c r="A911" s="27"/>
      <c r="B911" s="27"/>
      <c r="C911" s="27"/>
      <c r="D911" s="27"/>
      <c r="E911" s="27"/>
      <c r="F911" s="27"/>
      <c r="G911" s="27"/>
      <c r="H911" s="7" t="n">
        <f aca="false">IFERROR(IF(D911="JPY",E911*$I$3,IF(D911="USD",E911*$J$3,E911)),"")</f>
        <v>0</v>
      </c>
    </row>
    <row r="912" customFormat="false" ht="15" hidden="false" customHeight="false" outlineLevel="0" collapsed="false">
      <c r="A912" s="27"/>
      <c r="B912" s="27"/>
      <c r="C912" s="27"/>
      <c r="D912" s="27"/>
      <c r="E912" s="27"/>
      <c r="F912" s="27"/>
      <c r="G912" s="27"/>
      <c r="H912" s="7" t="n">
        <f aca="false">IFERROR(IF(D912="JPY",E912*$I$3,IF(D912="USD",E912*$J$3,E912)),"")</f>
        <v>0</v>
      </c>
    </row>
    <row r="913" customFormat="false" ht="15" hidden="false" customHeight="false" outlineLevel="0" collapsed="false">
      <c r="A913" s="27"/>
      <c r="B913" s="27"/>
      <c r="C913" s="27"/>
      <c r="D913" s="27"/>
      <c r="E913" s="27"/>
      <c r="F913" s="27"/>
      <c r="G913" s="27"/>
      <c r="H913" s="7" t="n">
        <f aca="false">IFERROR(IF(D913="JPY",E913*$I$3,IF(D913="USD",E913*$J$3,E913)),"")</f>
        <v>0</v>
      </c>
    </row>
    <row r="914" customFormat="false" ht="15" hidden="false" customHeight="false" outlineLevel="0" collapsed="false">
      <c r="A914" s="27"/>
      <c r="B914" s="27"/>
      <c r="C914" s="27"/>
      <c r="D914" s="27"/>
      <c r="E914" s="27"/>
      <c r="F914" s="27"/>
      <c r="G914" s="27"/>
      <c r="H914" s="7" t="n">
        <f aca="false">IFERROR(IF(D914="JPY",E914*$I$3,IF(D914="USD",E914*$J$3,E914)),"")</f>
        <v>0</v>
      </c>
    </row>
    <row r="915" customFormat="false" ht="15" hidden="false" customHeight="false" outlineLevel="0" collapsed="false">
      <c r="A915" s="27"/>
      <c r="B915" s="27"/>
      <c r="C915" s="27"/>
      <c r="D915" s="27"/>
      <c r="E915" s="27"/>
      <c r="F915" s="27"/>
      <c r="G915" s="27"/>
      <c r="H915" s="7" t="n">
        <f aca="false">IFERROR(IF(D915="JPY",E915*$I$3,IF(D915="USD",E915*$J$3,E915)),"")</f>
        <v>0</v>
      </c>
    </row>
    <row r="916" customFormat="false" ht="15" hidden="false" customHeight="false" outlineLevel="0" collapsed="false">
      <c r="A916" s="27"/>
      <c r="B916" s="27"/>
      <c r="C916" s="27"/>
      <c r="D916" s="27"/>
      <c r="E916" s="27"/>
      <c r="F916" s="27"/>
      <c r="G916" s="27"/>
      <c r="H916" s="7" t="n">
        <f aca="false">IFERROR(IF(D916="JPY",E916*$I$3,IF(D916="USD",E916*$J$3,E916)),"")</f>
        <v>0</v>
      </c>
    </row>
    <row r="917" customFormat="false" ht="15" hidden="false" customHeight="false" outlineLevel="0" collapsed="false">
      <c r="A917" s="27"/>
      <c r="B917" s="27"/>
      <c r="C917" s="27"/>
      <c r="D917" s="27"/>
      <c r="E917" s="27"/>
      <c r="F917" s="27"/>
      <c r="G917" s="27"/>
      <c r="H917" s="7" t="n">
        <f aca="false">IFERROR(IF(D917="JPY",E917*$I$3,IF(D917="USD",E917*$J$3,E917)),"")</f>
        <v>0</v>
      </c>
    </row>
    <row r="918" customFormat="false" ht="15" hidden="false" customHeight="false" outlineLevel="0" collapsed="false">
      <c r="A918" s="27"/>
      <c r="B918" s="27"/>
      <c r="C918" s="27"/>
      <c r="D918" s="27"/>
      <c r="E918" s="27"/>
      <c r="F918" s="27"/>
      <c r="G918" s="27"/>
      <c r="H918" s="7" t="n">
        <f aca="false">IFERROR(IF(D918="JPY",E918*$I$3,IF(D918="USD",E918*$J$3,E918)),"")</f>
        <v>0</v>
      </c>
    </row>
    <row r="919" customFormat="false" ht="15" hidden="false" customHeight="false" outlineLevel="0" collapsed="false">
      <c r="A919" s="27"/>
      <c r="B919" s="27"/>
      <c r="C919" s="27"/>
      <c r="D919" s="27"/>
      <c r="E919" s="27"/>
      <c r="F919" s="27"/>
      <c r="G919" s="27"/>
      <c r="H919" s="7" t="n">
        <f aca="false">IFERROR(IF(D919="JPY",E919*$I$3,IF(D919="USD",E919*$J$3,E919)),"")</f>
        <v>0</v>
      </c>
    </row>
    <row r="920" customFormat="false" ht="15" hidden="false" customHeight="false" outlineLevel="0" collapsed="false">
      <c r="A920" s="27"/>
      <c r="B920" s="27"/>
      <c r="C920" s="27"/>
      <c r="D920" s="27"/>
      <c r="E920" s="27"/>
      <c r="F920" s="27"/>
      <c r="G920" s="27"/>
      <c r="H920" s="7" t="n">
        <f aca="false">IFERROR(IF(D920="JPY",E920*$I$3,IF(D920="USD",E920*$J$3,E920)),"")</f>
        <v>0</v>
      </c>
    </row>
    <row r="921" customFormat="false" ht="15" hidden="false" customHeight="false" outlineLevel="0" collapsed="false">
      <c r="A921" s="27"/>
      <c r="B921" s="27"/>
      <c r="C921" s="27"/>
      <c r="D921" s="27"/>
      <c r="E921" s="27"/>
      <c r="F921" s="27"/>
      <c r="G921" s="27"/>
      <c r="H921" s="7" t="n">
        <f aca="false">IFERROR(IF(D921="JPY",E921*$I$3,IF(D921="USD",E921*$J$3,E921)),"")</f>
        <v>0</v>
      </c>
    </row>
    <row r="922" customFormat="false" ht="15" hidden="false" customHeight="false" outlineLevel="0" collapsed="false">
      <c r="A922" s="27"/>
      <c r="B922" s="27"/>
      <c r="C922" s="27"/>
      <c r="D922" s="27"/>
      <c r="E922" s="27"/>
      <c r="F922" s="27"/>
      <c r="G922" s="27"/>
      <c r="H922" s="7" t="n">
        <f aca="false">IFERROR(IF(D922="JPY",E922*$I$3,IF(D922="USD",E922*$J$3,E922)),"")</f>
        <v>0</v>
      </c>
    </row>
    <row r="923" customFormat="false" ht="15" hidden="false" customHeight="false" outlineLevel="0" collapsed="false">
      <c r="A923" s="27"/>
      <c r="B923" s="27"/>
      <c r="C923" s="27"/>
      <c r="D923" s="27"/>
      <c r="E923" s="27"/>
      <c r="F923" s="27"/>
      <c r="G923" s="27"/>
      <c r="H923" s="7" t="n">
        <f aca="false">IFERROR(IF(D923="JPY",E923*$I$3,IF(D923="USD",E923*$J$3,E923)),"")</f>
        <v>0</v>
      </c>
    </row>
    <row r="924" customFormat="false" ht="15" hidden="false" customHeight="false" outlineLevel="0" collapsed="false">
      <c r="A924" s="27"/>
      <c r="B924" s="27"/>
      <c r="C924" s="27"/>
      <c r="D924" s="27"/>
      <c r="E924" s="27"/>
      <c r="F924" s="27"/>
      <c r="G924" s="27"/>
      <c r="H924" s="7" t="n">
        <f aca="false">IFERROR(IF(D924="JPY",E924*$I$3,IF(D924="USD",E924*$J$3,E924)),"")</f>
        <v>0</v>
      </c>
    </row>
    <row r="925" customFormat="false" ht="15" hidden="false" customHeight="false" outlineLevel="0" collapsed="false">
      <c r="A925" s="27"/>
      <c r="B925" s="27"/>
      <c r="C925" s="27"/>
      <c r="D925" s="27"/>
      <c r="E925" s="27"/>
      <c r="F925" s="27"/>
      <c r="G925" s="27"/>
      <c r="H925" s="7" t="n">
        <f aca="false">IFERROR(IF(D925="JPY",E925*$I$3,IF(D925="USD",E925*$J$3,E925)),"")</f>
        <v>0</v>
      </c>
    </row>
    <row r="926" customFormat="false" ht="15" hidden="false" customHeight="false" outlineLevel="0" collapsed="false">
      <c r="A926" s="27"/>
      <c r="B926" s="27"/>
      <c r="C926" s="27"/>
      <c r="D926" s="27"/>
      <c r="E926" s="27"/>
      <c r="F926" s="27"/>
      <c r="G926" s="27"/>
      <c r="H926" s="7" t="n">
        <f aca="false">IFERROR(IF(D926="JPY",E926*$I$3,IF(D926="USD",E926*$J$3,E926)),"")</f>
        <v>0</v>
      </c>
    </row>
    <row r="927" customFormat="false" ht="15" hidden="false" customHeight="false" outlineLevel="0" collapsed="false">
      <c r="A927" s="27"/>
      <c r="B927" s="27"/>
      <c r="C927" s="27"/>
      <c r="D927" s="27"/>
      <c r="E927" s="27"/>
      <c r="F927" s="27"/>
      <c r="G927" s="27"/>
      <c r="H927" s="7" t="n">
        <f aca="false">IFERROR(IF(D927="JPY",E927*$I$3,IF(D927="USD",E927*$J$3,E927)),"")</f>
        <v>0</v>
      </c>
    </row>
    <row r="928" customFormat="false" ht="15" hidden="false" customHeight="false" outlineLevel="0" collapsed="false">
      <c r="A928" s="27"/>
      <c r="B928" s="27"/>
      <c r="C928" s="27"/>
      <c r="D928" s="27"/>
      <c r="E928" s="27"/>
      <c r="F928" s="27"/>
      <c r="G928" s="27"/>
      <c r="H928" s="7" t="n">
        <f aca="false">IFERROR(IF(D928="JPY",E928*$I$3,IF(D928="USD",E928*$J$3,E928)),"")</f>
        <v>0</v>
      </c>
    </row>
    <row r="929" customFormat="false" ht="15" hidden="false" customHeight="false" outlineLevel="0" collapsed="false">
      <c r="A929" s="27"/>
      <c r="B929" s="27"/>
      <c r="C929" s="27"/>
      <c r="D929" s="27"/>
      <c r="E929" s="27"/>
      <c r="F929" s="27"/>
      <c r="G929" s="27"/>
      <c r="H929" s="7" t="n">
        <f aca="false">IFERROR(IF(D929="JPY",E929*$I$3,IF(D929="USD",E929*$J$3,E929)),"")</f>
        <v>0</v>
      </c>
    </row>
    <row r="930" customFormat="false" ht="15" hidden="false" customHeight="false" outlineLevel="0" collapsed="false">
      <c r="A930" s="27"/>
      <c r="B930" s="27"/>
      <c r="C930" s="27"/>
      <c r="D930" s="27"/>
      <c r="E930" s="27"/>
      <c r="F930" s="27"/>
      <c r="G930" s="27"/>
      <c r="H930" s="7" t="n">
        <f aca="false">IFERROR(IF(D930="JPY",E930*$I$3,IF(D930="USD",E930*$J$3,E930)),"")</f>
        <v>0</v>
      </c>
    </row>
    <row r="931" customFormat="false" ht="15" hidden="false" customHeight="false" outlineLevel="0" collapsed="false">
      <c r="A931" s="27"/>
      <c r="B931" s="27"/>
      <c r="C931" s="27"/>
      <c r="D931" s="27"/>
      <c r="E931" s="27"/>
      <c r="F931" s="27"/>
      <c r="G931" s="27"/>
      <c r="H931" s="7" t="n">
        <f aca="false">IFERROR(IF(D931="JPY",E931*$I$3,IF(D931="USD",E931*$J$3,E931)),"")</f>
        <v>0</v>
      </c>
    </row>
    <row r="932" customFormat="false" ht="15" hidden="false" customHeight="false" outlineLevel="0" collapsed="false">
      <c r="A932" s="27"/>
      <c r="B932" s="27"/>
      <c r="C932" s="27"/>
      <c r="D932" s="27"/>
      <c r="E932" s="27"/>
      <c r="F932" s="27"/>
      <c r="G932" s="27"/>
      <c r="H932" s="7" t="n">
        <f aca="false">IFERROR(IF(D932="JPY",E932*$I$3,IF(D932="USD",E932*$J$3,E932)),"")</f>
        <v>0</v>
      </c>
    </row>
    <row r="933" customFormat="false" ht="15" hidden="false" customHeight="false" outlineLevel="0" collapsed="false">
      <c r="A933" s="27"/>
      <c r="B933" s="27"/>
      <c r="C933" s="27"/>
      <c r="D933" s="27"/>
      <c r="E933" s="27"/>
      <c r="F933" s="27"/>
      <c r="G933" s="27"/>
      <c r="H933" s="7" t="n">
        <f aca="false">IFERROR(IF(D933="JPY",E933*$I$3,IF(D933="USD",E933*$J$3,E933)),"")</f>
        <v>0</v>
      </c>
    </row>
    <row r="934" customFormat="false" ht="15" hidden="false" customHeight="false" outlineLevel="0" collapsed="false">
      <c r="A934" s="27"/>
      <c r="B934" s="27"/>
      <c r="C934" s="27"/>
      <c r="D934" s="27"/>
      <c r="E934" s="27"/>
      <c r="F934" s="27"/>
      <c r="G934" s="27"/>
      <c r="H934" s="7" t="n">
        <f aca="false">IFERROR(IF(D934="JPY",E934*$I$3,IF(D934="USD",E934*$J$3,E934)),"")</f>
        <v>0</v>
      </c>
    </row>
    <row r="935" customFormat="false" ht="15" hidden="false" customHeight="false" outlineLevel="0" collapsed="false">
      <c r="A935" s="27"/>
      <c r="B935" s="27"/>
      <c r="C935" s="27"/>
      <c r="D935" s="27"/>
      <c r="E935" s="27"/>
      <c r="F935" s="27"/>
      <c r="G935" s="27"/>
      <c r="H935" s="7" t="n">
        <f aca="false">IFERROR(IF(D935="JPY",E935*$I$3,IF(D935="USD",E935*$J$3,E935)),"")</f>
        <v>0</v>
      </c>
    </row>
    <row r="936" customFormat="false" ht="15" hidden="false" customHeight="false" outlineLevel="0" collapsed="false">
      <c r="A936" s="27"/>
      <c r="B936" s="27"/>
      <c r="C936" s="27"/>
      <c r="D936" s="27"/>
      <c r="E936" s="27"/>
      <c r="F936" s="27"/>
      <c r="G936" s="27"/>
      <c r="H936" s="7" t="n">
        <f aca="false">IFERROR(IF(D936="JPY",E936*$I$3,IF(D936="USD",E936*$J$3,E936)),"")</f>
        <v>0</v>
      </c>
    </row>
    <row r="937" customFormat="false" ht="15" hidden="false" customHeight="false" outlineLevel="0" collapsed="false">
      <c r="A937" s="27"/>
      <c r="B937" s="27"/>
      <c r="C937" s="27"/>
      <c r="D937" s="27"/>
      <c r="E937" s="27"/>
      <c r="F937" s="27"/>
      <c r="G937" s="27"/>
      <c r="H937" s="7" t="n">
        <f aca="false">IFERROR(IF(D937="JPY",E937*$I$3,IF(D937="USD",E937*$J$3,E937)),"")</f>
        <v>0</v>
      </c>
    </row>
    <row r="938" customFormat="false" ht="15" hidden="false" customHeight="false" outlineLevel="0" collapsed="false">
      <c r="A938" s="27"/>
      <c r="B938" s="27"/>
      <c r="C938" s="27"/>
      <c r="D938" s="27"/>
      <c r="E938" s="27"/>
      <c r="F938" s="27"/>
      <c r="G938" s="27"/>
      <c r="H938" s="7" t="n">
        <f aca="false">IFERROR(IF(D938="JPY",E938*$I$3,IF(D938="USD",E938*$J$3,E938)),"")</f>
        <v>0</v>
      </c>
    </row>
    <row r="939" customFormat="false" ht="15" hidden="false" customHeight="false" outlineLevel="0" collapsed="false">
      <c r="A939" s="27"/>
      <c r="B939" s="27"/>
      <c r="C939" s="27"/>
      <c r="D939" s="27"/>
      <c r="E939" s="27"/>
      <c r="F939" s="27"/>
      <c r="G939" s="27"/>
      <c r="H939" s="7" t="n">
        <f aca="false">IFERROR(IF(D939="JPY",E939*$I$3,IF(D939="USD",E939*$J$3,E939)),"")</f>
        <v>0</v>
      </c>
    </row>
    <row r="940" customFormat="false" ht="15" hidden="false" customHeight="false" outlineLevel="0" collapsed="false">
      <c r="A940" s="27"/>
      <c r="B940" s="27"/>
      <c r="C940" s="27"/>
      <c r="D940" s="27"/>
      <c r="E940" s="27"/>
      <c r="F940" s="27"/>
      <c r="G940" s="27"/>
      <c r="H940" s="7" t="n">
        <f aca="false">IFERROR(IF(D940="JPY",E940*$I$3,IF(D940="USD",E940*$J$3,E940)),"")</f>
        <v>0</v>
      </c>
    </row>
    <row r="941" customFormat="false" ht="15" hidden="false" customHeight="false" outlineLevel="0" collapsed="false">
      <c r="A941" s="27"/>
      <c r="B941" s="27"/>
      <c r="C941" s="27"/>
      <c r="D941" s="27"/>
      <c r="E941" s="27"/>
      <c r="F941" s="27"/>
      <c r="G941" s="27"/>
      <c r="H941" s="7" t="n">
        <f aca="false">IFERROR(IF(D941="JPY",E941*$I$3,IF(D941="USD",E941*$J$3,E941)),"")</f>
        <v>0</v>
      </c>
    </row>
    <row r="942" customFormat="false" ht="15" hidden="false" customHeight="false" outlineLevel="0" collapsed="false">
      <c r="A942" s="27"/>
      <c r="B942" s="27"/>
      <c r="C942" s="27"/>
      <c r="D942" s="27"/>
      <c r="E942" s="27"/>
      <c r="F942" s="27"/>
      <c r="G942" s="27"/>
      <c r="H942" s="7" t="n">
        <f aca="false">IFERROR(IF(D942="JPY",E942*$I$3,IF(D942="USD",E942*$J$3,E942)),"")</f>
        <v>0</v>
      </c>
    </row>
    <row r="943" customFormat="false" ht="15" hidden="false" customHeight="false" outlineLevel="0" collapsed="false">
      <c r="A943" s="27"/>
      <c r="B943" s="27"/>
      <c r="C943" s="27"/>
      <c r="D943" s="27"/>
      <c r="E943" s="27"/>
      <c r="F943" s="27"/>
      <c r="G943" s="27"/>
      <c r="H943" s="7" t="n">
        <f aca="false">IFERROR(IF(D943="JPY",E943*$I$3,IF(D943="USD",E943*$J$3,E943)),"")</f>
        <v>0</v>
      </c>
    </row>
    <row r="944" customFormat="false" ht="15" hidden="false" customHeight="false" outlineLevel="0" collapsed="false">
      <c r="A944" s="27"/>
      <c r="B944" s="27"/>
      <c r="C944" s="27"/>
      <c r="D944" s="27"/>
      <c r="E944" s="27"/>
      <c r="F944" s="27"/>
      <c r="G944" s="27"/>
      <c r="H944" s="7" t="n">
        <f aca="false">IFERROR(IF(D944="JPY",E944*$I$3,IF(D944="USD",E944*$J$3,E944)),"")</f>
        <v>0</v>
      </c>
    </row>
    <row r="945" customFormat="false" ht="15" hidden="false" customHeight="false" outlineLevel="0" collapsed="false">
      <c r="A945" s="27"/>
      <c r="B945" s="27"/>
      <c r="C945" s="27"/>
      <c r="D945" s="27"/>
      <c r="E945" s="27"/>
      <c r="F945" s="27"/>
      <c r="G945" s="27"/>
      <c r="H945" s="7" t="n">
        <f aca="false">IFERROR(IF(D945="JPY",E945*$I$3,IF(D945="USD",E945*$J$3,E945)),"")</f>
        <v>0</v>
      </c>
    </row>
    <row r="946" customFormat="false" ht="15" hidden="false" customHeight="false" outlineLevel="0" collapsed="false">
      <c r="A946" s="27"/>
      <c r="B946" s="27"/>
      <c r="C946" s="27"/>
      <c r="D946" s="27"/>
      <c r="E946" s="27"/>
      <c r="F946" s="27"/>
      <c r="G946" s="27"/>
      <c r="H946" s="7" t="n">
        <f aca="false">IFERROR(IF(D946="JPY",E946*$I$3,IF(D946="USD",E946*$J$3,E946)),"")</f>
        <v>0</v>
      </c>
    </row>
    <row r="947" customFormat="false" ht="15" hidden="false" customHeight="false" outlineLevel="0" collapsed="false">
      <c r="A947" s="27"/>
      <c r="B947" s="27"/>
      <c r="C947" s="27"/>
      <c r="D947" s="27"/>
      <c r="E947" s="27"/>
      <c r="F947" s="27"/>
      <c r="G947" s="27"/>
      <c r="H947" s="7" t="n">
        <f aca="false">IFERROR(IF(D947="JPY",E947*$I$3,IF(D947="USD",E947*$J$3,E947)),"")</f>
        <v>0</v>
      </c>
    </row>
    <row r="948" customFormat="false" ht="15" hidden="false" customHeight="false" outlineLevel="0" collapsed="false">
      <c r="A948" s="27"/>
      <c r="B948" s="27"/>
      <c r="C948" s="27"/>
      <c r="D948" s="27"/>
      <c r="E948" s="27"/>
      <c r="F948" s="27"/>
      <c r="G948" s="27"/>
      <c r="H948" s="7" t="n">
        <f aca="false">IFERROR(IF(D948="JPY",E948*$I$3,IF(D948="USD",E948*$J$3,E948)),"")</f>
        <v>0</v>
      </c>
    </row>
    <row r="949" customFormat="false" ht="15" hidden="false" customHeight="false" outlineLevel="0" collapsed="false">
      <c r="A949" s="27"/>
      <c r="B949" s="27"/>
      <c r="C949" s="27"/>
      <c r="D949" s="27"/>
      <c r="E949" s="27"/>
      <c r="F949" s="27"/>
      <c r="G949" s="27"/>
      <c r="H949" s="7" t="n">
        <f aca="false">IFERROR(IF(D949="JPY",E949*$I$3,IF(D949="USD",E949*$J$3,E949)),"")</f>
        <v>0</v>
      </c>
    </row>
    <row r="950" customFormat="false" ht="15" hidden="false" customHeight="false" outlineLevel="0" collapsed="false">
      <c r="A950" s="27"/>
      <c r="B950" s="27"/>
      <c r="C950" s="27"/>
      <c r="D950" s="27"/>
      <c r="E950" s="27"/>
      <c r="F950" s="27"/>
      <c r="G950" s="27"/>
      <c r="H950" s="7" t="n">
        <f aca="false">IFERROR(IF(D950="JPY",E950*$I$3,IF(D950="USD",E950*$J$3,E950)),"")</f>
        <v>0</v>
      </c>
    </row>
    <row r="951" customFormat="false" ht="15" hidden="false" customHeight="false" outlineLevel="0" collapsed="false">
      <c r="A951" s="27"/>
      <c r="B951" s="27"/>
      <c r="C951" s="27"/>
      <c r="D951" s="27"/>
      <c r="E951" s="27"/>
      <c r="F951" s="27"/>
      <c r="G951" s="27"/>
      <c r="H951" s="7" t="n">
        <f aca="false">IFERROR(IF(D951="JPY",E951*$I$3,IF(D951="USD",E951*$J$3,E951)),"")</f>
        <v>0</v>
      </c>
    </row>
    <row r="952" customFormat="false" ht="15" hidden="false" customHeight="false" outlineLevel="0" collapsed="false">
      <c r="A952" s="27"/>
      <c r="B952" s="27"/>
      <c r="C952" s="27"/>
      <c r="D952" s="27"/>
      <c r="E952" s="27"/>
      <c r="F952" s="27"/>
      <c r="G952" s="27"/>
      <c r="H952" s="7" t="n">
        <f aca="false">IFERROR(IF(D952="JPY",E952*$I$3,IF(D952="USD",E952*$J$3,E952)),"")</f>
        <v>0</v>
      </c>
    </row>
    <row r="953" customFormat="false" ht="15" hidden="false" customHeight="false" outlineLevel="0" collapsed="false">
      <c r="A953" s="27"/>
      <c r="B953" s="27"/>
      <c r="C953" s="27"/>
      <c r="D953" s="27"/>
      <c r="E953" s="27"/>
      <c r="F953" s="27"/>
      <c r="G953" s="27"/>
      <c r="H953" s="7" t="n">
        <f aca="false">IFERROR(IF(D953="JPY",E953*$I$3,IF(D953="USD",E953*$J$3,E953)),"")</f>
        <v>0</v>
      </c>
    </row>
    <row r="954" customFormat="false" ht="15" hidden="false" customHeight="false" outlineLevel="0" collapsed="false">
      <c r="A954" s="27"/>
      <c r="B954" s="27"/>
      <c r="C954" s="27"/>
      <c r="D954" s="27"/>
      <c r="E954" s="27"/>
      <c r="F954" s="27"/>
      <c r="G954" s="27"/>
      <c r="H954" s="7" t="n">
        <f aca="false">IFERROR(IF(D954="JPY",E954*$I$3,IF(D954="USD",E954*$J$3,E954)),"")</f>
        <v>0</v>
      </c>
    </row>
    <row r="955" customFormat="false" ht="15" hidden="false" customHeight="false" outlineLevel="0" collapsed="false">
      <c r="A955" s="27"/>
      <c r="B955" s="27"/>
      <c r="C955" s="27"/>
      <c r="D955" s="27"/>
      <c r="E955" s="27"/>
      <c r="F955" s="27"/>
      <c r="G955" s="27"/>
      <c r="H955" s="7" t="n">
        <f aca="false">IFERROR(IF(D955="JPY",E955*$I$3,IF(D955="USD",E955*$J$3,E955)),"")</f>
        <v>0</v>
      </c>
    </row>
    <row r="956" customFormat="false" ht="15" hidden="false" customHeight="false" outlineLevel="0" collapsed="false">
      <c r="A956" s="27"/>
      <c r="B956" s="27"/>
      <c r="C956" s="27"/>
      <c r="D956" s="27"/>
      <c r="E956" s="27"/>
      <c r="F956" s="27"/>
      <c r="G956" s="27"/>
      <c r="H956" s="7" t="n">
        <f aca="false">IFERROR(IF(D956="JPY",E956*$I$3,IF(D956="USD",E956*$J$3,E956)),"")</f>
        <v>0</v>
      </c>
    </row>
    <row r="957" customFormat="false" ht="15" hidden="false" customHeight="false" outlineLevel="0" collapsed="false">
      <c r="A957" s="27"/>
      <c r="B957" s="27"/>
      <c r="C957" s="27"/>
      <c r="D957" s="27"/>
      <c r="E957" s="27"/>
      <c r="F957" s="27"/>
      <c r="G957" s="27"/>
      <c r="H957" s="7" t="n">
        <f aca="false">IFERROR(IF(D957="JPY",E957*$I$3,IF(D957="USD",E957*$J$3,E957)),"")</f>
        <v>0</v>
      </c>
    </row>
    <row r="958" customFormat="false" ht="15" hidden="false" customHeight="false" outlineLevel="0" collapsed="false">
      <c r="A958" s="27"/>
      <c r="B958" s="27"/>
      <c r="C958" s="27"/>
      <c r="D958" s="27"/>
      <c r="E958" s="27"/>
      <c r="F958" s="27"/>
      <c r="G958" s="27"/>
      <c r="H958" s="7" t="n">
        <f aca="false">IFERROR(IF(D958="JPY",E958*$I$3,IF(D958="USD",E958*$J$3,E958)),"")</f>
        <v>0</v>
      </c>
    </row>
    <row r="959" customFormat="false" ht="15" hidden="false" customHeight="false" outlineLevel="0" collapsed="false">
      <c r="A959" s="27"/>
      <c r="B959" s="27"/>
      <c r="C959" s="27"/>
      <c r="D959" s="27"/>
      <c r="E959" s="27"/>
      <c r="F959" s="27"/>
      <c r="G959" s="27"/>
      <c r="H959" s="7" t="n">
        <f aca="false">IFERROR(IF(D959="JPY",E959*$I$3,IF(D959="USD",E959*$J$3,E959)),"")</f>
        <v>0</v>
      </c>
    </row>
    <row r="960" customFormat="false" ht="15" hidden="false" customHeight="false" outlineLevel="0" collapsed="false">
      <c r="A960" s="27"/>
      <c r="B960" s="27"/>
      <c r="C960" s="27"/>
      <c r="D960" s="27"/>
      <c r="E960" s="27"/>
      <c r="F960" s="27"/>
      <c r="G960" s="27"/>
      <c r="H960" s="7" t="n">
        <f aca="false">IFERROR(IF(D960="JPY",E960*$I$3,IF(D960="USD",E960*$J$3,E960)),"")</f>
        <v>0</v>
      </c>
    </row>
    <row r="961" customFormat="false" ht="15" hidden="false" customHeight="false" outlineLevel="0" collapsed="false">
      <c r="A961" s="27"/>
      <c r="B961" s="27"/>
      <c r="C961" s="27"/>
      <c r="D961" s="27"/>
      <c r="E961" s="27"/>
      <c r="F961" s="27"/>
      <c r="G961" s="27"/>
      <c r="H961" s="7" t="n">
        <f aca="false">IFERROR(IF(D961="JPY",E961*$I$3,IF(D961="USD",E961*$J$3,E961)),"")</f>
        <v>0</v>
      </c>
    </row>
    <row r="962" customFormat="false" ht="15" hidden="false" customHeight="false" outlineLevel="0" collapsed="false">
      <c r="A962" s="27"/>
      <c r="B962" s="27"/>
      <c r="C962" s="27"/>
      <c r="D962" s="27"/>
      <c r="E962" s="27"/>
      <c r="F962" s="27"/>
      <c r="G962" s="27"/>
      <c r="H962" s="7" t="n">
        <f aca="false">IFERROR(IF(D962="JPY",E962*$I$3,IF(D962="USD",E962*$J$3,E962)),"")</f>
        <v>0</v>
      </c>
    </row>
    <row r="963" customFormat="false" ht="15" hidden="false" customHeight="false" outlineLevel="0" collapsed="false">
      <c r="A963" s="27"/>
      <c r="B963" s="27"/>
      <c r="C963" s="27"/>
      <c r="D963" s="27"/>
      <c r="E963" s="27"/>
      <c r="F963" s="27"/>
      <c r="G963" s="27"/>
      <c r="H963" s="7" t="n">
        <f aca="false">IFERROR(IF(D963="JPY",E963*$I$3,IF(D963="USD",E963*$J$3,E963)),"")</f>
        <v>0</v>
      </c>
    </row>
    <row r="964" customFormat="false" ht="15" hidden="false" customHeight="false" outlineLevel="0" collapsed="false">
      <c r="A964" s="27"/>
      <c r="B964" s="27"/>
      <c r="C964" s="27"/>
      <c r="D964" s="27"/>
      <c r="E964" s="27"/>
      <c r="F964" s="27"/>
      <c r="G964" s="27"/>
      <c r="H964" s="7" t="n">
        <f aca="false">IFERROR(IF(D964="JPY",E964*$I$3,IF(D964="USD",E964*$J$3,E964)),"")</f>
        <v>0</v>
      </c>
    </row>
    <row r="965" customFormat="false" ht="15" hidden="false" customHeight="false" outlineLevel="0" collapsed="false">
      <c r="A965" s="27"/>
      <c r="B965" s="27"/>
      <c r="C965" s="27"/>
      <c r="D965" s="27"/>
      <c r="E965" s="27"/>
      <c r="F965" s="27"/>
      <c r="G965" s="27"/>
      <c r="H965" s="7" t="n">
        <f aca="false">IFERROR(IF(D965="JPY",E965*$I$3,IF(D965="USD",E965*$J$3,E965)),"")</f>
        <v>0</v>
      </c>
    </row>
    <row r="966" customFormat="false" ht="15" hidden="false" customHeight="false" outlineLevel="0" collapsed="false">
      <c r="A966" s="27"/>
      <c r="B966" s="27"/>
      <c r="C966" s="27"/>
      <c r="D966" s="27"/>
      <c r="E966" s="27"/>
      <c r="F966" s="27"/>
      <c r="G966" s="27"/>
      <c r="H966" s="7" t="n">
        <f aca="false">IFERROR(IF(D966="JPY",E966*$I$3,IF(D966="USD",E966*$J$3,E966)),"")</f>
        <v>0</v>
      </c>
    </row>
    <row r="967" customFormat="false" ht="15" hidden="false" customHeight="false" outlineLevel="0" collapsed="false">
      <c r="A967" s="27"/>
      <c r="B967" s="27"/>
      <c r="C967" s="27"/>
      <c r="D967" s="27"/>
      <c r="E967" s="27"/>
      <c r="F967" s="27"/>
      <c r="G967" s="27"/>
      <c r="H967" s="7" t="n">
        <f aca="false">IFERROR(IF(D967="JPY",E967*$I$3,IF(D967="USD",E967*$J$3,E967)),"")</f>
        <v>0</v>
      </c>
    </row>
    <row r="968" customFormat="false" ht="15" hidden="false" customHeight="false" outlineLevel="0" collapsed="false">
      <c r="A968" s="27"/>
      <c r="B968" s="27"/>
      <c r="C968" s="27"/>
      <c r="D968" s="27"/>
      <c r="E968" s="27"/>
      <c r="F968" s="27"/>
      <c r="G968" s="27"/>
      <c r="H968" s="7" t="n">
        <f aca="false">IFERROR(IF(D968="JPY",E968*$I$3,IF(D968="USD",E968*$J$3,E968)),"")</f>
        <v>0</v>
      </c>
    </row>
    <row r="969" customFormat="false" ht="15" hidden="false" customHeight="false" outlineLevel="0" collapsed="false">
      <c r="A969" s="27"/>
      <c r="B969" s="27"/>
      <c r="C969" s="27"/>
      <c r="D969" s="27"/>
      <c r="E969" s="27"/>
      <c r="F969" s="27"/>
      <c r="G969" s="27"/>
      <c r="H969" s="7" t="n">
        <f aca="false">IFERROR(IF(D969="JPY",E969*$I$3,IF(D969="USD",E969*$J$3,E969)),"")</f>
        <v>0</v>
      </c>
    </row>
    <row r="970" customFormat="false" ht="15" hidden="false" customHeight="false" outlineLevel="0" collapsed="false">
      <c r="A970" s="27"/>
      <c r="B970" s="27"/>
      <c r="C970" s="27"/>
      <c r="D970" s="27"/>
      <c r="E970" s="27"/>
      <c r="F970" s="27"/>
      <c r="G970" s="27"/>
      <c r="H970" s="7" t="n">
        <f aca="false">IFERROR(IF(D970="JPY",E970*$I$3,IF(D970="USD",E970*$J$3,E970)),"")</f>
        <v>0</v>
      </c>
    </row>
    <row r="971" customFormat="false" ht="15" hidden="false" customHeight="false" outlineLevel="0" collapsed="false">
      <c r="A971" s="27"/>
      <c r="B971" s="27"/>
      <c r="C971" s="27"/>
      <c r="D971" s="27"/>
      <c r="E971" s="27"/>
      <c r="F971" s="27"/>
      <c r="G971" s="27"/>
      <c r="H971" s="7" t="n">
        <f aca="false">IFERROR(IF(D971="JPY",E971*$I$3,IF(D971="USD",E971*$J$3,E971)),"")</f>
        <v>0</v>
      </c>
    </row>
    <row r="972" customFormat="false" ht="15" hidden="false" customHeight="false" outlineLevel="0" collapsed="false">
      <c r="A972" s="27"/>
      <c r="B972" s="27"/>
      <c r="C972" s="27"/>
      <c r="D972" s="27"/>
      <c r="E972" s="27"/>
      <c r="F972" s="27"/>
      <c r="G972" s="27"/>
      <c r="H972" s="7" t="n">
        <f aca="false">IFERROR(IF(D972="JPY",E972*$I$3,IF(D972="USD",E972*$J$3,E972)),"")</f>
        <v>0</v>
      </c>
    </row>
    <row r="973" customFormat="false" ht="15" hidden="false" customHeight="false" outlineLevel="0" collapsed="false">
      <c r="A973" s="27"/>
      <c r="B973" s="27"/>
      <c r="C973" s="27"/>
      <c r="D973" s="27"/>
      <c r="E973" s="27"/>
      <c r="F973" s="27"/>
      <c r="G973" s="27"/>
      <c r="H973" s="7" t="n">
        <f aca="false">IFERROR(IF(D973="JPY",E973*$I$3,IF(D973="USD",E973*$J$3,E973)),"")</f>
        <v>0</v>
      </c>
    </row>
    <row r="974" customFormat="false" ht="15" hidden="false" customHeight="false" outlineLevel="0" collapsed="false">
      <c r="A974" s="27"/>
      <c r="B974" s="27"/>
      <c r="C974" s="27"/>
      <c r="D974" s="27"/>
      <c r="E974" s="27"/>
      <c r="F974" s="27"/>
      <c r="G974" s="27"/>
      <c r="H974" s="7" t="n">
        <f aca="false">IFERROR(IF(D974="JPY",E974*$I$3,IF(D974="USD",E974*$J$3,E974)),"")</f>
        <v>0</v>
      </c>
    </row>
    <row r="975" customFormat="false" ht="15" hidden="false" customHeight="false" outlineLevel="0" collapsed="false">
      <c r="A975" s="27"/>
      <c r="B975" s="27"/>
      <c r="C975" s="27"/>
      <c r="D975" s="27"/>
      <c r="E975" s="27"/>
      <c r="F975" s="27"/>
      <c r="G975" s="27"/>
      <c r="H975" s="7" t="n">
        <f aca="false">IFERROR(IF(D975="JPY",E975*$I$3,IF(D975="USD",E975*$J$3,E975)),"")</f>
        <v>0</v>
      </c>
    </row>
    <row r="976" customFormat="false" ht="15" hidden="false" customHeight="false" outlineLevel="0" collapsed="false">
      <c r="A976" s="27"/>
      <c r="B976" s="27"/>
      <c r="C976" s="27"/>
      <c r="D976" s="27"/>
      <c r="E976" s="27"/>
      <c r="F976" s="27"/>
      <c r="G976" s="27"/>
      <c r="H976" s="7" t="n">
        <f aca="false">IFERROR(IF(D976="JPY",E976*$I$3,IF(D976="USD",E976*$J$3,E976)),"")</f>
        <v>0</v>
      </c>
    </row>
    <row r="977" customFormat="false" ht="15" hidden="false" customHeight="false" outlineLevel="0" collapsed="false">
      <c r="A977" s="27"/>
      <c r="B977" s="27"/>
      <c r="C977" s="27"/>
      <c r="D977" s="27"/>
      <c r="E977" s="27"/>
      <c r="F977" s="27"/>
      <c r="G977" s="27"/>
      <c r="H977" s="7" t="n">
        <f aca="false">IFERROR(IF(D977="JPY",E977*$I$3,IF(D977="USD",E977*$J$3,E977)),"")</f>
        <v>0</v>
      </c>
    </row>
    <row r="978" customFormat="false" ht="15" hidden="false" customHeight="false" outlineLevel="0" collapsed="false">
      <c r="A978" s="27"/>
      <c r="B978" s="27"/>
      <c r="C978" s="27"/>
      <c r="D978" s="27"/>
      <c r="E978" s="27"/>
      <c r="F978" s="27"/>
      <c r="G978" s="27"/>
      <c r="H978" s="7" t="n">
        <f aca="false">IFERROR(IF(D978="JPY",E978*$I$3,IF(D978="USD",E978*$J$3,E978)),"")</f>
        <v>0</v>
      </c>
    </row>
    <row r="979" customFormat="false" ht="15" hidden="false" customHeight="false" outlineLevel="0" collapsed="false">
      <c r="A979" s="27"/>
      <c r="B979" s="27"/>
      <c r="C979" s="27"/>
      <c r="D979" s="27"/>
      <c r="E979" s="27"/>
      <c r="F979" s="27"/>
      <c r="G979" s="27"/>
      <c r="H979" s="7" t="n">
        <f aca="false">IFERROR(IF(D979="JPY",E979*$I$3,IF(D979="USD",E979*$J$3,E979)),"")</f>
        <v>0</v>
      </c>
    </row>
    <row r="980" customFormat="false" ht="15" hidden="false" customHeight="false" outlineLevel="0" collapsed="false">
      <c r="A980" s="27"/>
      <c r="B980" s="27"/>
      <c r="C980" s="27"/>
      <c r="D980" s="27"/>
      <c r="E980" s="27"/>
      <c r="F980" s="27"/>
      <c r="G980" s="27"/>
      <c r="H980" s="7" t="n">
        <f aca="false">IFERROR(IF(D980="JPY",E980*$I$3,IF(D980="USD",E980*$J$3,E980)),"")</f>
        <v>0</v>
      </c>
    </row>
    <row r="981" customFormat="false" ht="15" hidden="false" customHeight="false" outlineLevel="0" collapsed="false">
      <c r="A981" s="27"/>
      <c r="B981" s="27"/>
      <c r="C981" s="27"/>
      <c r="D981" s="27"/>
      <c r="E981" s="27"/>
      <c r="F981" s="27"/>
      <c r="G981" s="27"/>
      <c r="H981" s="7" t="n">
        <f aca="false">IFERROR(IF(D981="JPY",E981*$I$3,IF(D981="USD",E981*$J$3,E981)),"")</f>
        <v>0</v>
      </c>
    </row>
    <row r="982" customFormat="false" ht="15" hidden="false" customHeight="false" outlineLevel="0" collapsed="false">
      <c r="A982" s="27"/>
      <c r="B982" s="27"/>
      <c r="C982" s="27"/>
      <c r="D982" s="27"/>
      <c r="E982" s="27"/>
      <c r="F982" s="27"/>
      <c r="G982" s="27"/>
      <c r="H982" s="7" t="n">
        <f aca="false">IFERROR(IF(D982="JPY",E982*$I$3,IF(D982="USD",E982*$J$3,E982)),"")</f>
        <v>0</v>
      </c>
    </row>
    <row r="983" customFormat="false" ht="15" hidden="false" customHeight="false" outlineLevel="0" collapsed="false">
      <c r="A983" s="27"/>
      <c r="B983" s="27"/>
      <c r="C983" s="27"/>
      <c r="D983" s="27"/>
      <c r="E983" s="27"/>
      <c r="F983" s="27"/>
      <c r="G983" s="27"/>
      <c r="H983" s="7" t="n">
        <f aca="false">IFERROR(IF(D983="JPY",E983*$I$3,IF(D983="USD",E983*$J$3,E983)),"")</f>
        <v>0</v>
      </c>
    </row>
    <row r="984" customFormat="false" ht="15" hidden="false" customHeight="false" outlineLevel="0" collapsed="false">
      <c r="A984" s="27"/>
      <c r="B984" s="27"/>
      <c r="C984" s="27"/>
      <c r="D984" s="27"/>
      <c r="E984" s="27"/>
      <c r="F984" s="27"/>
      <c r="G984" s="27"/>
      <c r="H984" s="7" t="n">
        <f aca="false">IFERROR(IF(D984="JPY",E984*$I$3,IF(D984="USD",E984*$J$3,E984)),"")</f>
        <v>0</v>
      </c>
    </row>
    <row r="985" customFormat="false" ht="15" hidden="false" customHeight="false" outlineLevel="0" collapsed="false">
      <c r="A985" s="27"/>
      <c r="B985" s="27"/>
      <c r="C985" s="27"/>
      <c r="D985" s="27"/>
      <c r="E985" s="27"/>
      <c r="F985" s="27"/>
      <c r="G985" s="27"/>
      <c r="H985" s="7" t="n">
        <f aca="false">IFERROR(IF(D985="JPY",E985*$I$3,IF(D985="USD",E985*$J$3,E985)),"")</f>
        <v>0</v>
      </c>
    </row>
    <row r="986" customFormat="false" ht="15" hidden="false" customHeight="false" outlineLevel="0" collapsed="false">
      <c r="A986" s="27"/>
      <c r="B986" s="27"/>
      <c r="C986" s="27"/>
      <c r="D986" s="27"/>
      <c r="E986" s="27"/>
      <c r="F986" s="27"/>
      <c r="G986" s="27"/>
      <c r="H986" s="7" t="n">
        <f aca="false">IFERROR(IF(D986="JPY",E986*$I$3,IF(D986="USD",E986*$J$3,E986)),"")</f>
        <v>0</v>
      </c>
    </row>
    <row r="987" customFormat="false" ht="15" hidden="false" customHeight="false" outlineLevel="0" collapsed="false">
      <c r="A987" s="27"/>
      <c r="B987" s="27"/>
      <c r="C987" s="27"/>
      <c r="D987" s="27"/>
      <c r="E987" s="27"/>
      <c r="F987" s="27"/>
      <c r="G987" s="27"/>
      <c r="H987" s="7" t="n">
        <f aca="false">IFERROR(IF(D987="JPY",E987*$I$3,IF(D987="USD",E987*$J$3,E987)),"")</f>
        <v>0</v>
      </c>
    </row>
    <row r="988" customFormat="false" ht="15" hidden="false" customHeight="false" outlineLevel="0" collapsed="false">
      <c r="A988" s="27"/>
      <c r="B988" s="27"/>
      <c r="C988" s="27"/>
      <c r="D988" s="27"/>
      <c r="E988" s="27"/>
      <c r="F988" s="27"/>
      <c r="G988" s="27"/>
      <c r="H988" s="7" t="n">
        <f aca="false">IFERROR(IF(D988="JPY",E988*$I$3,IF(D988="USD",E988*$J$3,E988)),"")</f>
        <v>0</v>
      </c>
    </row>
    <row r="989" customFormat="false" ht="15" hidden="false" customHeight="false" outlineLevel="0" collapsed="false">
      <c r="A989" s="27"/>
      <c r="B989" s="27"/>
      <c r="C989" s="27"/>
      <c r="D989" s="27"/>
      <c r="E989" s="27"/>
      <c r="F989" s="27"/>
      <c r="G989" s="27"/>
      <c r="H989" s="7" t="n">
        <f aca="false">IFERROR(IF(D989="JPY",E989*$I$3,IF(D989="USD",E989*$J$3,E989)),"")</f>
        <v>0</v>
      </c>
    </row>
    <row r="990" customFormat="false" ht="15" hidden="false" customHeight="false" outlineLevel="0" collapsed="false">
      <c r="A990" s="27"/>
      <c r="B990" s="27"/>
      <c r="C990" s="27"/>
      <c r="D990" s="27"/>
      <c r="E990" s="27"/>
      <c r="F990" s="27"/>
      <c r="G990" s="27"/>
      <c r="H990" s="7" t="n">
        <f aca="false">IFERROR(IF(D990="JPY",E990*$I$3,IF(D990="USD",E990*$J$3,E990)),"")</f>
        <v>0</v>
      </c>
    </row>
    <row r="991" customFormat="false" ht="15" hidden="false" customHeight="false" outlineLevel="0" collapsed="false">
      <c r="A991" s="27"/>
      <c r="B991" s="27"/>
      <c r="C991" s="27"/>
      <c r="D991" s="27"/>
      <c r="E991" s="27"/>
      <c r="F991" s="27"/>
      <c r="G991" s="27"/>
      <c r="H991" s="7" t="n">
        <f aca="false">IFERROR(IF(D991="JPY",E991*$I$3,IF(D991="USD",E991*$J$3,E991)),"")</f>
        <v>0</v>
      </c>
    </row>
    <row r="992" customFormat="false" ht="15" hidden="false" customHeight="false" outlineLevel="0" collapsed="false">
      <c r="A992" s="27"/>
      <c r="B992" s="27"/>
      <c r="C992" s="27"/>
      <c r="D992" s="27"/>
      <c r="E992" s="27"/>
      <c r="F992" s="27"/>
      <c r="G992" s="27"/>
      <c r="H992" s="7" t="n">
        <f aca="false">IFERROR(IF(D992="JPY",E992*$I$3,IF(D992="USD",E992*$J$3,E992)),"")</f>
        <v>0</v>
      </c>
    </row>
    <row r="993" customFormat="false" ht="15" hidden="false" customHeight="false" outlineLevel="0" collapsed="false">
      <c r="A993" s="27"/>
      <c r="B993" s="27"/>
      <c r="C993" s="27"/>
      <c r="D993" s="27"/>
      <c r="E993" s="27"/>
      <c r="F993" s="27"/>
      <c r="G993" s="27"/>
      <c r="H993" s="7" t="n">
        <f aca="false">IFERROR(IF(D993="JPY",E993*$I$3,IF(D993="USD",E993*$J$3,E993)),"")</f>
        <v>0</v>
      </c>
    </row>
    <row r="994" customFormat="false" ht="15" hidden="false" customHeight="false" outlineLevel="0" collapsed="false">
      <c r="A994" s="27"/>
      <c r="B994" s="27"/>
      <c r="C994" s="27"/>
      <c r="D994" s="27"/>
      <c r="E994" s="27"/>
      <c r="F994" s="27"/>
      <c r="G994" s="27"/>
      <c r="H994" s="7" t="n">
        <f aca="false">IFERROR(IF(D994="JPY",E994*$I$3,IF(D994="USD",E994*$J$3,E994)),"")</f>
        <v>0</v>
      </c>
    </row>
    <row r="995" customFormat="false" ht="15" hidden="false" customHeight="false" outlineLevel="0" collapsed="false">
      <c r="A995" s="27"/>
      <c r="B995" s="27"/>
      <c r="C995" s="27"/>
      <c r="D995" s="27"/>
      <c r="E995" s="27"/>
      <c r="F995" s="27"/>
      <c r="G995" s="27"/>
      <c r="H995" s="7" t="n">
        <f aca="false">IFERROR(IF(D995="JPY",E995*$I$3,IF(D995="USD",E995*$J$3,E995)),"")</f>
        <v>0</v>
      </c>
    </row>
    <row r="996" customFormat="false" ht="15" hidden="false" customHeight="false" outlineLevel="0" collapsed="false">
      <c r="A996" s="27"/>
      <c r="B996" s="27"/>
      <c r="C996" s="27"/>
      <c r="D996" s="27"/>
      <c r="E996" s="27"/>
      <c r="F996" s="27"/>
      <c r="G996" s="27"/>
      <c r="H996" s="7" t="n">
        <f aca="false">IFERROR(IF(D996="JPY",E996*$I$3,IF(D996="USD",E996*$J$3,E996)),"")</f>
        <v>0</v>
      </c>
    </row>
    <row r="997" customFormat="false" ht="15" hidden="false" customHeight="false" outlineLevel="0" collapsed="false">
      <c r="A997" s="27"/>
      <c r="B997" s="27"/>
      <c r="C997" s="27"/>
      <c r="D997" s="27"/>
      <c r="E997" s="27"/>
      <c r="F997" s="27"/>
      <c r="G997" s="27"/>
      <c r="H997" s="7" t="n">
        <f aca="false">IFERROR(IF(D997="JPY",E997*$I$3,IF(D997="USD",E997*$J$3,E997)),"")</f>
        <v>0</v>
      </c>
    </row>
    <row r="998" customFormat="false" ht="15" hidden="false" customHeight="false" outlineLevel="0" collapsed="false">
      <c r="A998" s="27"/>
      <c r="B998" s="27"/>
      <c r="C998" s="27"/>
      <c r="D998" s="27"/>
      <c r="E998" s="27"/>
      <c r="F998" s="27"/>
      <c r="G998" s="27"/>
      <c r="H998" s="7" t="n">
        <f aca="false">IFERROR(IF(D998="JPY",E998*$I$3,IF(D998="USD",E998*$J$3,E998)),"")</f>
        <v>0</v>
      </c>
    </row>
    <row r="999" customFormat="false" ht="15" hidden="false" customHeight="false" outlineLevel="0" collapsed="false">
      <c r="A999" s="27"/>
      <c r="B999" s="27"/>
      <c r="C999" s="27"/>
      <c r="D999" s="27"/>
      <c r="E999" s="27"/>
      <c r="F999" s="27"/>
      <c r="G999" s="27"/>
      <c r="H999" s="7" t="n">
        <f aca="false">IFERROR(IF(D999="JPY",E999*$I$3,IF(D999="USD",E999*$J$3,E999)),"")</f>
        <v>0</v>
      </c>
    </row>
    <row r="1000" customFormat="false" ht="15" hidden="false" customHeight="false" outlineLevel="0" collapsed="false">
      <c r="A1000" s="27"/>
      <c r="B1000" s="27"/>
      <c r="C1000" s="27"/>
      <c r="D1000" s="27"/>
      <c r="E1000" s="27"/>
      <c r="F1000" s="27"/>
      <c r="G1000" s="27"/>
      <c r="H1000" s="7" t="n">
        <f aca="false">IFERROR(IF(D1000="JPY",E1000*$I$3,IF(D1000="USD",E1000*$J$3,E1000)),"")</f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29" t="s">
        <v>83</v>
      </c>
      <c r="B1" s="29"/>
      <c r="C1" s="29"/>
      <c r="D1" s="29"/>
      <c r="E1" s="29"/>
      <c r="F1" s="29"/>
      <c r="G1" s="29"/>
    </row>
    <row r="2" customFormat="false" ht="27.75" hidden="false" customHeight="true" outlineLevel="0" collapsed="false">
      <c r="A2" s="8" t="s">
        <v>84</v>
      </c>
      <c r="B2" s="8" t="s">
        <v>85</v>
      </c>
      <c r="C2" s="8" t="s">
        <v>86</v>
      </c>
      <c r="D2" s="8" t="s">
        <v>87</v>
      </c>
      <c r="E2" s="8" t="s">
        <v>88</v>
      </c>
      <c r="F2" s="8" t="s">
        <v>89</v>
      </c>
      <c r="G2" s="8" t="s">
        <v>32</v>
      </c>
    </row>
    <row r="3" customFormat="false" ht="15" hidden="false" customHeight="false" outlineLevel="0" collapsed="false">
      <c r="A3" s="30" t="n">
        <v>1</v>
      </c>
      <c r="B3" s="25" t="s">
        <v>90</v>
      </c>
      <c r="C3" s="31" t="s">
        <v>91</v>
      </c>
      <c r="D3" s="32" t="n">
        <v>0</v>
      </c>
      <c r="E3" s="33"/>
      <c r="F3" s="34" t="n">
        <v>0</v>
      </c>
      <c r="G3" s="35"/>
    </row>
    <row r="4" customFormat="false" ht="15" hidden="false" customHeight="false" outlineLevel="0" collapsed="false">
      <c r="A4" s="30" t="n">
        <v>1</v>
      </c>
      <c r="B4" s="25" t="s">
        <v>92</v>
      </c>
      <c r="C4" s="31" t="s">
        <v>93</v>
      </c>
      <c r="D4" s="32" t="n">
        <v>0</v>
      </c>
      <c r="E4" s="33"/>
      <c r="F4" s="34" t="n">
        <v>0</v>
      </c>
      <c r="G4" s="35"/>
    </row>
    <row r="5" customFormat="false" ht="15" hidden="false" customHeight="false" outlineLevel="0" collapsed="false">
      <c r="A5" s="30" t="n">
        <v>1</v>
      </c>
      <c r="B5" s="25" t="s">
        <v>94</v>
      </c>
      <c r="C5" s="36" t="s">
        <v>95</v>
      </c>
      <c r="D5" s="32" t="n">
        <v>542</v>
      </c>
      <c r="E5" s="33"/>
      <c r="F5" s="34" t="n">
        <v>0</v>
      </c>
      <c r="G5" s="35"/>
    </row>
    <row r="6" customFormat="false" ht="15" hidden="false" customHeight="false" outlineLevel="0" collapsed="false">
      <c r="A6" s="30" t="n">
        <v>1</v>
      </c>
      <c r="B6" s="25" t="s">
        <v>96</v>
      </c>
      <c r="C6" s="36" t="s">
        <v>97</v>
      </c>
      <c r="D6" s="32" t="n">
        <v>0</v>
      </c>
      <c r="E6" s="33"/>
      <c r="F6" s="34" t="n">
        <v>0</v>
      </c>
      <c r="G6" s="35"/>
    </row>
    <row r="7" customFormat="false" ht="15" hidden="false" customHeight="false" outlineLevel="0" collapsed="false">
      <c r="A7" s="30" t="n">
        <v>1</v>
      </c>
      <c r="B7" s="25" t="s">
        <v>98</v>
      </c>
      <c r="C7" s="31" t="s">
        <v>99</v>
      </c>
      <c r="D7" s="32" t="n">
        <v>0</v>
      </c>
      <c r="E7" s="33"/>
      <c r="F7" s="34" t="n">
        <v>0</v>
      </c>
      <c r="G7" s="35"/>
    </row>
    <row r="8" customFormat="false" ht="15" hidden="false" customHeight="false" outlineLevel="0" collapsed="false">
      <c r="A8" s="30" t="n">
        <v>1</v>
      </c>
      <c r="B8" s="25" t="s">
        <v>100</v>
      </c>
      <c r="C8" s="31" t="s">
        <v>101</v>
      </c>
      <c r="D8" s="32" t="n">
        <v>280</v>
      </c>
      <c r="E8" s="33"/>
      <c r="F8" s="34" t="n">
        <v>0</v>
      </c>
      <c r="G8" s="35"/>
    </row>
    <row r="9" customFormat="false" ht="15" hidden="false" customHeight="false" outlineLevel="0" collapsed="false">
      <c r="A9" s="30" t="n">
        <v>1</v>
      </c>
      <c r="B9" s="25" t="s">
        <v>102</v>
      </c>
      <c r="C9" s="31" t="s">
        <v>103</v>
      </c>
      <c r="D9" s="32" t="n">
        <v>147</v>
      </c>
      <c r="E9" s="33"/>
      <c r="F9" s="34" t="n">
        <v>0</v>
      </c>
      <c r="G9" s="35"/>
    </row>
    <row r="10" customFormat="false" ht="15" hidden="false" customHeight="false" outlineLevel="0" collapsed="false">
      <c r="A10" s="30" t="n">
        <v>2</v>
      </c>
      <c r="B10" s="37" t="s">
        <v>104</v>
      </c>
      <c r="C10" s="38" t="s">
        <v>105</v>
      </c>
      <c r="D10" s="32" t="n">
        <v>504</v>
      </c>
      <c r="E10" s="33"/>
      <c r="F10" s="34" t="n">
        <v>0</v>
      </c>
      <c r="G10" s="35"/>
    </row>
    <row r="11" customFormat="false" ht="15" hidden="false" customHeight="false" outlineLevel="0" collapsed="false">
      <c r="A11" s="30" t="n">
        <v>2</v>
      </c>
      <c r="B11" s="37" t="s">
        <v>106</v>
      </c>
      <c r="C11" s="38" t="s">
        <v>107</v>
      </c>
      <c r="D11" s="32" t="n">
        <v>420</v>
      </c>
      <c r="E11" s="33"/>
      <c r="F11" s="34" t="n">
        <v>0</v>
      </c>
      <c r="G11" s="35"/>
    </row>
    <row r="12" customFormat="false" ht="15" hidden="false" customHeight="false" outlineLevel="0" collapsed="false">
      <c r="A12" s="30" t="n">
        <v>2</v>
      </c>
      <c r="B12" s="37" t="s">
        <v>108</v>
      </c>
      <c r="C12" s="38" t="s">
        <v>109</v>
      </c>
      <c r="D12" s="32" t="n">
        <v>0</v>
      </c>
      <c r="E12" s="33"/>
      <c r="F12" s="34" t="n">
        <v>0</v>
      </c>
      <c r="G12" s="35"/>
    </row>
    <row r="13" customFormat="false" ht="15" hidden="false" customHeight="false" outlineLevel="0" collapsed="false">
      <c r="A13" s="30" t="n">
        <v>2</v>
      </c>
      <c r="B13" s="37" t="s">
        <v>110</v>
      </c>
      <c r="C13" s="38" t="s">
        <v>111</v>
      </c>
      <c r="D13" s="32" t="n">
        <v>787</v>
      </c>
      <c r="E13" s="33"/>
      <c r="F13" s="34" t="n">
        <v>0</v>
      </c>
      <c r="G13" s="35"/>
    </row>
    <row r="14" customFormat="false" ht="15" hidden="false" customHeight="false" outlineLevel="0" collapsed="false">
      <c r="A14" s="30" t="n">
        <v>2</v>
      </c>
      <c r="B14" s="37" t="s">
        <v>112</v>
      </c>
      <c r="C14" s="39" t="s">
        <v>113</v>
      </c>
      <c r="D14" s="32" t="n">
        <v>472</v>
      </c>
      <c r="E14" s="33"/>
      <c r="F14" s="34" t="n">
        <v>0</v>
      </c>
      <c r="G14" s="35"/>
    </row>
    <row r="15" customFormat="false" ht="15" hidden="false" customHeight="false" outlineLevel="0" collapsed="false">
      <c r="A15" s="30" t="n">
        <v>3</v>
      </c>
      <c r="B15" s="40" t="s">
        <v>114</v>
      </c>
      <c r="C15" s="41" t="s">
        <v>115</v>
      </c>
      <c r="D15" s="32" t="n">
        <v>294</v>
      </c>
      <c r="E15" s="33"/>
      <c r="F15" s="34" t="n">
        <v>0</v>
      </c>
      <c r="G15" s="35"/>
    </row>
    <row r="16" customFormat="false" ht="15" hidden="false" customHeight="false" outlineLevel="0" collapsed="false">
      <c r="A16" s="30" t="n">
        <v>3</v>
      </c>
      <c r="B16" s="40" t="s">
        <v>116</v>
      </c>
      <c r="C16" s="41" t="s">
        <v>117</v>
      </c>
      <c r="D16" s="32" t="n">
        <v>0</v>
      </c>
      <c r="E16" s="33"/>
      <c r="F16" s="34" t="n">
        <v>0</v>
      </c>
      <c r="G16" s="35"/>
    </row>
    <row r="17" customFormat="false" ht="15" hidden="false" customHeight="false" outlineLevel="0" collapsed="false">
      <c r="A17" s="30" t="n">
        <v>3</v>
      </c>
      <c r="B17" s="40" t="s">
        <v>110</v>
      </c>
      <c r="C17" s="41" t="s">
        <v>118</v>
      </c>
      <c r="D17" s="32" t="n">
        <v>0</v>
      </c>
      <c r="E17" s="33"/>
      <c r="F17" s="34" t="n">
        <v>0</v>
      </c>
      <c r="G17" s="35"/>
    </row>
    <row r="18" customFormat="false" ht="15" hidden="false" customHeight="false" outlineLevel="0" collapsed="false">
      <c r="A18" s="30" t="n">
        <v>3</v>
      </c>
      <c r="B18" s="40" t="s">
        <v>119</v>
      </c>
      <c r="C18" s="41" t="s">
        <v>120</v>
      </c>
      <c r="D18" s="32" t="n">
        <v>0</v>
      </c>
      <c r="E18" s="33"/>
      <c r="F18" s="34" t="n">
        <v>0</v>
      </c>
      <c r="G18" s="35"/>
    </row>
    <row r="19" customFormat="false" ht="15" hidden="false" customHeight="false" outlineLevel="0" collapsed="false">
      <c r="A19" s="30" t="n">
        <v>4</v>
      </c>
      <c r="B19" s="42" t="s">
        <v>121</v>
      </c>
      <c r="C19" s="43" t="s">
        <v>122</v>
      </c>
      <c r="D19" s="32" t="n">
        <v>0</v>
      </c>
      <c r="E19" s="33"/>
      <c r="F19" s="34" t="n">
        <v>0</v>
      </c>
      <c r="G19" s="35"/>
    </row>
    <row r="20" customFormat="false" ht="15" hidden="false" customHeight="false" outlineLevel="0" collapsed="false">
      <c r="A20" s="30" t="n">
        <v>4</v>
      </c>
      <c r="B20" s="42" t="s">
        <v>123</v>
      </c>
      <c r="C20" s="44" t="s">
        <v>124</v>
      </c>
      <c r="D20" s="32" t="n">
        <v>0</v>
      </c>
      <c r="E20" s="33"/>
      <c r="F20" s="34" t="n">
        <v>0</v>
      </c>
      <c r="G20" s="35"/>
    </row>
    <row r="21" customFormat="false" ht="15" hidden="false" customHeight="false" outlineLevel="0" collapsed="false">
      <c r="A21" s="30" t="n">
        <v>4</v>
      </c>
      <c r="B21" s="42" t="s">
        <v>125</v>
      </c>
      <c r="C21" s="43" t="s">
        <v>126</v>
      </c>
      <c r="D21" s="32" t="n">
        <v>336</v>
      </c>
      <c r="E21" s="33"/>
      <c r="F21" s="34" t="n">
        <v>0</v>
      </c>
      <c r="G21" s="35"/>
    </row>
    <row r="22" customFormat="false" ht="15" hidden="false" customHeight="false" outlineLevel="0" collapsed="false">
      <c r="A22" s="30" t="n">
        <v>4</v>
      </c>
      <c r="B22" s="42" t="s">
        <v>127</v>
      </c>
      <c r="C22" s="43" t="s">
        <v>128</v>
      </c>
      <c r="D22" s="32" t="n">
        <v>0</v>
      </c>
      <c r="E22" s="33"/>
      <c r="F22" s="34" t="n">
        <v>0</v>
      </c>
      <c r="G22" s="35"/>
    </row>
    <row r="23" customFormat="false" ht="15" hidden="false" customHeight="false" outlineLevel="0" collapsed="false">
      <c r="A23" s="30" t="n">
        <v>4</v>
      </c>
      <c r="B23" s="42" t="s">
        <v>129</v>
      </c>
      <c r="C23" s="44" t="s">
        <v>130</v>
      </c>
      <c r="D23" s="32" t="n">
        <v>798</v>
      </c>
      <c r="E23" s="33"/>
      <c r="F23" s="34" t="n">
        <v>0</v>
      </c>
      <c r="G23" s="35"/>
    </row>
    <row r="24" customFormat="false" ht="15" hidden="false" customHeight="false" outlineLevel="0" collapsed="false">
      <c r="A24" s="30" t="n">
        <v>4</v>
      </c>
      <c r="B24" s="42" t="s">
        <v>131</v>
      </c>
      <c r="C24" s="43" t="s">
        <v>132</v>
      </c>
      <c r="D24" s="32" t="n">
        <v>0</v>
      </c>
      <c r="E24" s="33"/>
      <c r="F24" s="34" t="n">
        <v>0</v>
      </c>
      <c r="G24" s="35"/>
    </row>
    <row r="25" customFormat="false" ht="15" hidden="false" customHeight="false" outlineLevel="0" collapsed="false">
      <c r="A25" s="30" t="n">
        <v>5</v>
      </c>
      <c r="B25" s="45" t="s">
        <v>133</v>
      </c>
      <c r="C25" s="46" t="s">
        <v>134</v>
      </c>
      <c r="D25" s="32" t="n">
        <v>462</v>
      </c>
      <c r="E25" s="33"/>
      <c r="F25" s="34" t="n">
        <v>0</v>
      </c>
      <c r="G25" s="35"/>
    </row>
    <row r="26" customFormat="false" ht="15" hidden="false" customHeight="false" outlineLevel="0" collapsed="false">
      <c r="A26" s="30" t="n">
        <v>5</v>
      </c>
      <c r="B26" s="45" t="s">
        <v>135</v>
      </c>
      <c r="C26" s="46" t="s">
        <v>136</v>
      </c>
      <c r="D26" s="32" t="n">
        <v>210</v>
      </c>
      <c r="E26" s="33"/>
      <c r="F26" s="34" t="n">
        <v>0</v>
      </c>
      <c r="G26" s="35"/>
    </row>
    <row r="27" customFormat="false" ht="15" hidden="false" customHeight="false" outlineLevel="0" collapsed="false">
      <c r="A27" s="30" t="n">
        <v>5</v>
      </c>
      <c r="B27" s="45" t="s">
        <v>129</v>
      </c>
      <c r="C27" s="46" t="s">
        <v>137</v>
      </c>
      <c r="D27" s="32" t="n">
        <v>158</v>
      </c>
      <c r="E27" s="33"/>
      <c r="F27" s="34" t="n">
        <v>0</v>
      </c>
      <c r="G27" s="35"/>
    </row>
    <row r="28" customFormat="false" ht="15" hidden="false" customHeight="false" outlineLevel="0" collapsed="false">
      <c r="A28" s="30" t="n">
        <v>5</v>
      </c>
      <c r="B28" s="45" t="s">
        <v>138</v>
      </c>
      <c r="C28" s="46" t="s">
        <v>139</v>
      </c>
      <c r="D28" s="32" t="n">
        <v>0</v>
      </c>
      <c r="E28" s="33"/>
      <c r="F28" s="34" t="n">
        <v>0</v>
      </c>
      <c r="G28" s="35"/>
    </row>
    <row r="29" customFormat="false" ht="15" hidden="false" customHeight="false" outlineLevel="0" collapsed="false">
      <c r="A29" s="30" t="n">
        <v>5</v>
      </c>
      <c r="B29" s="45" t="s">
        <v>140</v>
      </c>
      <c r="C29" s="47" t="s">
        <v>141</v>
      </c>
      <c r="D29" s="32" t="n">
        <v>0</v>
      </c>
      <c r="E29" s="33"/>
      <c r="F29" s="34" t="n">
        <v>0</v>
      </c>
      <c r="G29" s="35"/>
    </row>
    <row r="30" customFormat="false" ht="15" hidden="false" customHeight="false" outlineLevel="0" collapsed="false">
      <c r="A30" s="30" t="n">
        <v>6</v>
      </c>
      <c r="B30" s="48" t="s">
        <v>116</v>
      </c>
      <c r="C30" s="49" t="s">
        <v>142</v>
      </c>
      <c r="D30" s="32" t="n">
        <v>0</v>
      </c>
      <c r="E30" s="33"/>
      <c r="F30" s="34" t="n">
        <v>0</v>
      </c>
      <c r="G30" s="35"/>
    </row>
    <row r="31" customFormat="false" ht="15" hidden="false" customHeight="false" outlineLevel="0" collapsed="false">
      <c r="A31" s="30" t="n">
        <v>6</v>
      </c>
      <c r="B31" s="48" t="s">
        <v>143</v>
      </c>
      <c r="C31" s="49" t="s">
        <v>144</v>
      </c>
      <c r="D31" s="32" t="n">
        <v>378</v>
      </c>
      <c r="E31" s="33"/>
      <c r="F31" s="34" t="n">
        <v>0</v>
      </c>
      <c r="G31" s="35"/>
    </row>
    <row r="32" customFormat="false" ht="15" hidden="false" customHeight="false" outlineLevel="0" collapsed="false">
      <c r="A32" s="30" t="n">
        <v>6</v>
      </c>
      <c r="B32" s="48" t="s">
        <v>145</v>
      </c>
      <c r="C32" s="49" t="s">
        <v>146</v>
      </c>
      <c r="D32" s="32" t="n">
        <v>210</v>
      </c>
      <c r="E32" s="33"/>
      <c r="F32" s="34" t="n">
        <v>0</v>
      </c>
      <c r="G32" s="35"/>
    </row>
    <row r="33" customFormat="false" ht="15" hidden="false" customHeight="false" outlineLevel="0" collapsed="false">
      <c r="A33" s="30" t="n">
        <v>7</v>
      </c>
      <c r="B33" s="50" t="s">
        <v>147</v>
      </c>
      <c r="C33" s="51" t="s">
        <v>148</v>
      </c>
      <c r="D33" s="32" t="n">
        <v>95</v>
      </c>
      <c r="E33" s="33"/>
      <c r="F33" s="34" t="n">
        <v>0</v>
      </c>
      <c r="G33" s="35"/>
    </row>
    <row r="34" customFormat="false" ht="15" hidden="false" customHeight="false" outlineLevel="0" collapsed="false">
      <c r="A34" s="30" t="n">
        <v>7</v>
      </c>
      <c r="B34" s="50" t="s">
        <v>149</v>
      </c>
      <c r="C34" s="52" t="s">
        <v>150</v>
      </c>
      <c r="D34" s="32" t="n">
        <v>0</v>
      </c>
      <c r="E34" s="33"/>
      <c r="F34" s="34" t="n">
        <v>0</v>
      </c>
      <c r="G34" s="35"/>
    </row>
    <row r="35" customFormat="false" ht="15" hidden="false" customHeight="false" outlineLevel="0" collapsed="false">
      <c r="A35" s="30" t="n">
        <v>7</v>
      </c>
      <c r="B35" s="50" t="s">
        <v>151</v>
      </c>
      <c r="C35" s="52" t="s">
        <v>152</v>
      </c>
      <c r="D35" s="32" t="n">
        <v>284</v>
      </c>
      <c r="E35" s="33"/>
      <c r="F35" s="34" t="n">
        <v>0</v>
      </c>
      <c r="G35" s="35"/>
    </row>
    <row r="36" customFormat="false" ht="15" hidden="false" customHeight="false" outlineLevel="0" collapsed="false">
      <c r="A36" s="30" t="n">
        <v>7</v>
      </c>
      <c r="B36" s="50" t="s">
        <v>153</v>
      </c>
      <c r="C36" s="52" t="s">
        <v>154</v>
      </c>
      <c r="D36" s="32" t="n">
        <v>462</v>
      </c>
      <c r="E36" s="33"/>
      <c r="F36" s="34" t="n">
        <v>0</v>
      </c>
      <c r="G36" s="35"/>
    </row>
    <row r="37" customFormat="false" ht="15" hidden="false" customHeight="false" outlineLevel="0" collapsed="false">
      <c r="A37" s="30" t="n">
        <v>7</v>
      </c>
      <c r="B37" s="50" t="s">
        <v>92</v>
      </c>
      <c r="C37" s="52" t="s">
        <v>155</v>
      </c>
      <c r="D37" s="32" t="n">
        <v>0</v>
      </c>
      <c r="E37" s="33"/>
      <c r="F37" s="34" t="n">
        <v>0</v>
      </c>
      <c r="G37" s="35"/>
    </row>
    <row r="38" customFormat="false" ht="15" hidden="false" customHeight="false" outlineLevel="0" collapsed="false">
      <c r="A38" s="30" t="n">
        <v>7</v>
      </c>
      <c r="B38" s="50" t="s">
        <v>119</v>
      </c>
      <c r="C38" s="52" t="s">
        <v>156</v>
      </c>
      <c r="D38" s="32" t="n">
        <v>420</v>
      </c>
      <c r="E38" s="33"/>
      <c r="F38" s="34" t="n">
        <v>0</v>
      </c>
      <c r="G38" s="35"/>
    </row>
    <row r="39" customFormat="false" ht="15" hidden="false" customHeight="false" outlineLevel="0" collapsed="false">
      <c r="A39" s="30" t="n">
        <v>8</v>
      </c>
      <c r="B39" s="53" t="s">
        <v>157</v>
      </c>
      <c r="C39" s="54" t="s">
        <v>158</v>
      </c>
      <c r="D39" s="32" t="n">
        <v>168</v>
      </c>
      <c r="E39" s="33"/>
      <c r="F39" s="34" t="n">
        <v>0</v>
      </c>
      <c r="G39" s="35"/>
    </row>
    <row r="40" customFormat="false" ht="15" hidden="false" customHeight="false" outlineLevel="0" collapsed="false">
      <c r="A40" s="30" t="n">
        <v>8</v>
      </c>
      <c r="B40" s="53" t="s">
        <v>106</v>
      </c>
      <c r="C40" s="54" t="s">
        <v>159</v>
      </c>
      <c r="D40" s="32" t="n">
        <v>578</v>
      </c>
      <c r="E40" s="33"/>
      <c r="F40" s="34" t="n">
        <v>0</v>
      </c>
      <c r="G40" s="35"/>
    </row>
    <row r="41" customFormat="false" ht="15" hidden="false" customHeight="false" outlineLevel="0" collapsed="false">
      <c r="A41" s="30" t="n">
        <v>8</v>
      </c>
      <c r="B41" s="53" t="s">
        <v>160</v>
      </c>
      <c r="C41" s="54" t="s">
        <v>161</v>
      </c>
      <c r="D41" s="32" t="n">
        <v>273</v>
      </c>
      <c r="E41" s="33"/>
      <c r="F41" s="34" t="n">
        <v>0</v>
      </c>
      <c r="G41" s="35"/>
    </row>
    <row r="42" customFormat="false" ht="15" hidden="false" customHeight="false" outlineLevel="0" collapsed="false">
      <c r="A42" s="30" t="n">
        <v>8</v>
      </c>
      <c r="B42" s="53" t="s">
        <v>162</v>
      </c>
      <c r="C42" s="54" t="s">
        <v>163</v>
      </c>
      <c r="D42" s="32" t="n">
        <v>0</v>
      </c>
      <c r="E42" s="33"/>
      <c r="F42" s="34" t="n">
        <v>0</v>
      </c>
      <c r="G42" s="35"/>
    </row>
    <row r="43" customFormat="false" ht="15" hidden="false" customHeight="false" outlineLevel="0" collapsed="false">
      <c r="A43" s="30" t="n">
        <v>8</v>
      </c>
      <c r="B43" s="53" t="s">
        <v>164</v>
      </c>
      <c r="C43" s="54" t="s">
        <v>165</v>
      </c>
      <c r="D43" s="32" t="n">
        <v>0</v>
      </c>
      <c r="E43" s="33"/>
      <c r="F43" s="34" t="n">
        <v>0</v>
      </c>
      <c r="G43" s="35"/>
    </row>
    <row r="44" customFormat="false" ht="15" hidden="false" customHeight="false" outlineLevel="0" collapsed="false">
      <c r="A44" s="30" t="n">
        <v>8</v>
      </c>
      <c r="B44" s="53" t="s">
        <v>166</v>
      </c>
      <c r="C44" s="54" t="s">
        <v>167</v>
      </c>
      <c r="D44" s="32" t="n">
        <v>0</v>
      </c>
      <c r="E44" s="33"/>
      <c r="F44" s="34" t="n">
        <v>0</v>
      </c>
      <c r="G44" s="35"/>
    </row>
    <row r="45" customFormat="false" ht="15" hidden="false" customHeight="false" outlineLevel="0" collapsed="false">
      <c r="A45" s="30" t="n">
        <v>8</v>
      </c>
      <c r="B45" s="53" t="s">
        <v>168</v>
      </c>
      <c r="C45" s="55" t="s">
        <v>169</v>
      </c>
      <c r="D45" s="32" t="n">
        <v>0</v>
      </c>
      <c r="E45" s="33"/>
      <c r="F45" s="34" t="n">
        <v>0</v>
      </c>
      <c r="G45" s="35"/>
    </row>
    <row r="46" customFormat="false" ht="15" hidden="false" customHeight="false" outlineLevel="0" collapsed="false">
      <c r="A46" s="30" t="n">
        <v>9</v>
      </c>
      <c r="B46" s="56" t="s">
        <v>170</v>
      </c>
      <c r="C46" s="57" t="s">
        <v>171</v>
      </c>
      <c r="D46" s="32" t="n">
        <v>0</v>
      </c>
      <c r="E46" s="33"/>
      <c r="F46" s="34" t="n">
        <v>0</v>
      </c>
      <c r="G46" s="35"/>
    </row>
    <row r="47" customFormat="false" ht="15" hidden="false" customHeight="false" outlineLevel="0" collapsed="false">
      <c r="A47" s="30" t="n">
        <v>9</v>
      </c>
      <c r="B47" s="56" t="s">
        <v>172</v>
      </c>
      <c r="C47" s="58" t="s">
        <v>173</v>
      </c>
      <c r="D47" s="32" t="n">
        <v>0</v>
      </c>
      <c r="E47" s="33"/>
      <c r="F47" s="34" t="n">
        <v>0</v>
      </c>
      <c r="G47" s="35"/>
    </row>
    <row r="48" customFormat="false" ht="15" hidden="false" customHeight="false" outlineLevel="0" collapsed="false">
      <c r="A48" s="30" t="n">
        <v>9</v>
      </c>
      <c r="B48" s="56" t="s">
        <v>143</v>
      </c>
      <c r="C48" s="57" t="s">
        <v>174</v>
      </c>
      <c r="D48" s="32" t="n">
        <v>0</v>
      </c>
      <c r="E48" s="33"/>
      <c r="F48" s="34" t="n">
        <v>0</v>
      </c>
      <c r="G48" s="3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28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175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59" t="s">
        <v>176</v>
      </c>
      <c r="B3" s="59"/>
      <c r="C3" s="59"/>
      <c r="D3" s="59"/>
      <c r="E3" s="59"/>
      <c r="F3" s="59"/>
    </row>
    <row r="5" customFormat="false" ht="15" hidden="false" customHeight="false" outlineLevel="0" collapsed="false">
      <c r="A5" s="60" t="s">
        <v>177</v>
      </c>
      <c r="B5" s="23" t="n">
        <v>4</v>
      </c>
      <c r="C5" s="61" t="s">
        <v>178</v>
      </c>
    </row>
    <row r="7" customFormat="false" ht="21.75" hidden="false" customHeight="true" outlineLevel="0" collapsed="false">
      <c r="A7" s="2" t="s">
        <v>179</v>
      </c>
      <c r="B7" s="2"/>
      <c r="C7" s="2"/>
      <c r="D7" s="2"/>
      <c r="E7" s="2"/>
      <c r="F7" s="2"/>
    </row>
    <row r="8" customFormat="false" ht="24" hidden="false" customHeight="true" outlineLevel="0" collapsed="false">
      <c r="A8" s="8" t="s">
        <v>27</v>
      </c>
      <c r="B8" s="8" t="s">
        <v>180</v>
      </c>
      <c r="C8" s="8" t="s">
        <v>181</v>
      </c>
      <c r="D8" s="8" t="s">
        <v>182</v>
      </c>
      <c r="E8" s="8" t="s">
        <v>183</v>
      </c>
      <c r="F8" s="8" t="s">
        <v>32</v>
      </c>
    </row>
    <row r="9" customFormat="false" ht="17.15" hidden="false" customHeight="false" outlineLevel="0" collapsed="false">
      <c r="A9" s="62" t="s">
        <v>33</v>
      </c>
      <c r="B9" s="63" t="n">
        <f aca="false">SUMIFS(花費明細!H3:H1000,花費明細!G3:G1000,"dad")</f>
        <v>1008</v>
      </c>
      <c r="C9" s="63" t="n">
        <f aca="false">IFERROR(SUM(花費明細!H3:H1000)/$B$5,0)</f>
        <v>252</v>
      </c>
      <c r="D9" s="64" t="n">
        <f aca="false">B9-C9</f>
        <v>756</v>
      </c>
      <c r="E9" s="20" t="str">
        <f aca="false">IF(D9&gt;0,"應收回 NT$ "&amp;TEXT(D9,"#,##0"),IF(D9&lt;0,"應給出 NT$ "&amp;TEXT(ABS(D9),"#,##0"),"打平"))</f>
        <v>應收回 NT$ 756</v>
      </c>
      <c r="F9" s="65"/>
    </row>
    <row r="10" customFormat="false" ht="17.15" hidden="false" customHeight="false" outlineLevel="0" collapsed="false">
      <c r="A10" s="66" t="s">
        <v>34</v>
      </c>
      <c r="B10" s="63" t="n">
        <f aca="false">SUMIFS(花費明細!H3:H1000,花費明細!G3:G1000,"wife")</f>
        <v>0</v>
      </c>
      <c r="C10" s="63" t="n">
        <f aca="false">IFERROR(SUM(花費明細!H3:H1000)/$B$5,0)</f>
        <v>252</v>
      </c>
      <c r="D10" s="64" t="n">
        <f aca="false">B10-C10</f>
        <v>-252</v>
      </c>
      <c r="E10" s="20" t="str">
        <f aca="false">IF(D10&gt;0,"應收回 NT$ "&amp;TEXT(D10,"#,##0"),IF(D10&lt;0,"應給出 NT$ "&amp;TEXT(ABS(D10),"#,##0"),"打平"))</f>
        <v>應給出 NT$ 252</v>
      </c>
      <c r="F10" s="65"/>
    </row>
    <row r="11" customFormat="false" ht="17.15" hidden="false" customHeight="false" outlineLevel="0" collapsed="false">
      <c r="A11" s="67" t="s">
        <v>35</v>
      </c>
      <c r="B11" s="63" t="n">
        <f aca="false">SUMIFS(花費明細!H3:H1000,花費明細!G3:G1000,"mom")</f>
        <v>0</v>
      </c>
      <c r="C11" s="63" t="n">
        <f aca="false">IFERROR(SUM(花費明細!H3:H1000)/$B$5,0)</f>
        <v>252</v>
      </c>
      <c r="D11" s="64" t="n">
        <f aca="false">B11-C11</f>
        <v>-252</v>
      </c>
      <c r="E11" s="20" t="str">
        <f aca="false">IF(D11&gt;0,"應收回 NT$ "&amp;TEXT(D11,"#,##0"),IF(D11&lt;0,"應給出 NT$ "&amp;TEXT(ABS(D11),"#,##0"),"打平"))</f>
        <v>應給出 NT$ 252</v>
      </c>
      <c r="F11" s="65"/>
    </row>
    <row r="12" customFormat="false" ht="17.15" hidden="false" customHeight="false" outlineLevel="0" collapsed="false">
      <c r="A12" s="68" t="s">
        <v>36</v>
      </c>
      <c r="B12" s="63" t="n">
        <f aca="false">SUMIFS(花費明細!H3:H1000,花費明細!G3:G1000,"shared")</f>
        <v>0</v>
      </c>
      <c r="C12" s="65" t="s">
        <v>184</v>
      </c>
      <c r="D12" s="65" t="s">
        <v>184</v>
      </c>
      <c r="E12" s="69" t="s">
        <v>185</v>
      </c>
      <c r="F12" s="65"/>
    </row>
    <row r="14" customFormat="false" ht="17.15" hidden="false" customHeight="false" outlineLevel="0" collapsed="false">
      <c r="A14" s="70" t="s">
        <v>37</v>
      </c>
      <c r="B14" s="71" t="n">
        <f aca="false">SUM(B9:B12)</f>
        <v>1008</v>
      </c>
      <c r="C14" s="71" t="n">
        <f aca="false">SUM(C9:C11)</f>
        <v>756</v>
      </c>
      <c r="D14" s="71" t="n">
        <f aca="false">SUM(D9:D11)</f>
        <v>252</v>
      </c>
      <c r="E14" s="15" t="s">
        <v>186</v>
      </c>
      <c r="F14" s="15"/>
    </row>
    <row r="16" customFormat="false" ht="21.75" hidden="false" customHeight="true" outlineLevel="0" collapsed="false">
      <c r="A16" s="2" t="s">
        <v>187</v>
      </c>
      <c r="B16" s="2"/>
      <c r="C16" s="2"/>
      <c r="D16" s="2"/>
      <c r="E16" s="2"/>
      <c r="F16" s="2"/>
    </row>
    <row r="17" customFormat="false" ht="15" hidden="false" customHeight="true" outlineLevel="0" collapsed="false">
      <c r="A17" s="59" t="s">
        <v>188</v>
      </c>
      <c r="B17" s="59"/>
      <c r="C17" s="59"/>
      <c r="D17" s="59"/>
      <c r="E17" s="59"/>
      <c r="F17" s="59"/>
    </row>
    <row r="18" customFormat="false" ht="15" hidden="false" customHeight="true" outlineLevel="0" collapsed="false">
      <c r="A18" s="59" t="s">
        <v>189</v>
      </c>
      <c r="B18" s="59"/>
      <c r="C18" s="59"/>
      <c r="D18" s="59"/>
      <c r="E18" s="59"/>
      <c r="F18" s="59"/>
    </row>
    <row r="19" customFormat="false" ht="15" hidden="false" customHeight="true" outlineLevel="0" collapsed="false">
      <c r="A19" s="59" t="s">
        <v>190</v>
      </c>
      <c r="B19" s="59"/>
      <c r="C19" s="59"/>
      <c r="D19" s="59"/>
      <c r="E19" s="59"/>
      <c r="F19" s="59"/>
    </row>
    <row r="20" customFormat="false" ht="15" hidden="false" customHeight="false" outlineLevel="0" collapsed="false">
      <c r="A20" s="59"/>
      <c r="B20" s="59"/>
      <c r="C20" s="59"/>
      <c r="D20" s="59"/>
      <c r="E20" s="59"/>
      <c r="F20" s="59"/>
    </row>
    <row r="21" customFormat="false" ht="15" hidden="false" customHeight="true" outlineLevel="0" collapsed="false">
      <c r="A21" s="72" t="s">
        <v>191</v>
      </c>
      <c r="B21" s="72"/>
      <c r="C21" s="72"/>
      <c r="D21" s="72"/>
      <c r="E21" s="72"/>
      <c r="F21" s="72"/>
    </row>
    <row r="22" customFormat="false" ht="15" hidden="false" customHeight="true" outlineLevel="0" collapsed="false">
      <c r="A22" s="72" t="s">
        <v>192</v>
      </c>
      <c r="B22" s="72"/>
      <c r="C22" s="72"/>
      <c r="D22" s="72"/>
      <c r="E22" s="72"/>
      <c r="F22" s="72"/>
    </row>
  </sheetData>
  <mergeCells count="10">
    <mergeCell ref="A1:F1"/>
    <mergeCell ref="A3:F3"/>
    <mergeCell ref="A7:F7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1.5" hidden="false" customHeight="true" outlineLevel="0" collapsed="false">
      <c r="A1" s="1" t="s">
        <v>193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73" t="s">
        <v>194</v>
      </c>
      <c r="B3" s="73"/>
      <c r="C3" s="73"/>
      <c r="D3" s="73"/>
      <c r="E3" s="73"/>
      <c r="F3" s="73"/>
    </row>
    <row r="4" customFormat="false" ht="18" hidden="false" customHeight="true" outlineLevel="0" collapsed="false">
      <c r="A4" s="59" t="s">
        <v>195</v>
      </c>
      <c r="B4" s="59"/>
      <c r="C4" s="59"/>
      <c r="D4" s="59"/>
      <c r="E4" s="59"/>
      <c r="F4" s="59"/>
    </row>
    <row r="5" customFormat="false" ht="18" hidden="false" customHeight="true" outlineLevel="0" collapsed="false">
      <c r="A5" s="74" t="s">
        <v>196</v>
      </c>
      <c r="B5" s="74"/>
      <c r="C5" s="74"/>
      <c r="D5" s="74"/>
      <c r="E5" s="74"/>
      <c r="F5" s="74"/>
    </row>
    <row r="7" customFormat="false" ht="24" hidden="false" customHeight="true" outlineLevel="0" collapsed="false">
      <c r="A7" s="73" t="s">
        <v>197</v>
      </c>
      <c r="B7" s="73"/>
      <c r="C7" s="73"/>
      <c r="D7" s="73"/>
      <c r="E7" s="73"/>
      <c r="F7" s="73"/>
    </row>
    <row r="8" customFormat="false" ht="21.75" hidden="false" customHeight="true" outlineLevel="0" collapsed="false">
      <c r="A8" s="75" t="s">
        <v>198</v>
      </c>
      <c r="B8" s="75"/>
      <c r="C8" s="75"/>
      <c r="D8" s="75"/>
      <c r="E8" s="75"/>
      <c r="F8" s="75"/>
    </row>
    <row r="9" customFormat="false" ht="18" hidden="false" customHeight="true" outlineLevel="0" collapsed="false">
      <c r="A9" s="74" t="s">
        <v>199</v>
      </c>
      <c r="B9" s="74"/>
      <c r="C9" s="74"/>
      <c r="D9" s="74"/>
      <c r="E9" s="74"/>
      <c r="F9" s="74"/>
    </row>
    <row r="10" customFormat="false" ht="18" hidden="false" customHeight="true" outlineLevel="0" collapsed="false">
      <c r="A10" s="74" t="s">
        <v>200</v>
      </c>
      <c r="B10" s="74"/>
      <c r="C10" s="74"/>
      <c r="D10" s="74"/>
      <c r="E10" s="74"/>
      <c r="F10" s="74"/>
    </row>
    <row r="11" customFormat="false" ht="18" hidden="false" customHeight="true" outlineLevel="0" collapsed="false">
      <c r="A11" s="74" t="s">
        <v>201</v>
      </c>
      <c r="B11" s="74"/>
      <c r="C11" s="74"/>
      <c r="D11" s="74"/>
      <c r="E11" s="74"/>
      <c r="F11" s="74"/>
    </row>
    <row r="12" customFormat="false" ht="18" hidden="false" customHeight="true" outlineLevel="0" collapsed="false">
      <c r="A12" s="74" t="s">
        <v>202</v>
      </c>
      <c r="B12" s="74"/>
      <c r="C12" s="74"/>
      <c r="D12" s="74"/>
      <c r="E12" s="74"/>
      <c r="F12" s="74"/>
    </row>
    <row r="14" customFormat="false" ht="21.75" hidden="false" customHeight="true" outlineLevel="0" collapsed="false">
      <c r="A14" s="75" t="s">
        <v>203</v>
      </c>
      <c r="B14" s="75"/>
      <c r="C14" s="75"/>
      <c r="D14" s="75"/>
      <c r="E14" s="75"/>
      <c r="F14" s="75"/>
    </row>
    <row r="15" customFormat="false" ht="18" hidden="false" customHeight="true" outlineLevel="0" collapsed="false">
      <c r="A15" s="74" t="s">
        <v>204</v>
      </c>
      <c r="B15" s="74"/>
      <c r="C15" s="74"/>
      <c r="D15" s="74"/>
      <c r="E15" s="74"/>
      <c r="F15" s="74"/>
    </row>
    <row r="16" customFormat="false" ht="18" hidden="false" customHeight="true" outlineLevel="0" collapsed="false">
      <c r="A16" s="74" t="s">
        <v>205</v>
      </c>
      <c r="B16" s="74"/>
      <c r="C16" s="74"/>
      <c r="D16" s="74"/>
      <c r="E16" s="74"/>
      <c r="F16" s="74"/>
    </row>
    <row r="17" customFormat="false" ht="18" hidden="false" customHeight="true" outlineLevel="0" collapsed="false">
      <c r="A17" s="74" t="s">
        <v>206</v>
      </c>
      <c r="B17" s="74"/>
      <c r="C17" s="74"/>
      <c r="D17" s="74"/>
      <c r="E17" s="74"/>
      <c r="F17" s="74"/>
    </row>
    <row r="18" customFormat="false" ht="18" hidden="false" customHeight="true" outlineLevel="0" collapsed="false">
      <c r="A18" s="74" t="s">
        <v>207</v>
      </c>
      <c r="B18" s="74"/>
      <c r="C18" s="74"/>
      <c r="D18" s="74"/>
      <c r="E18" s="74"/>
      <c r="F18" s="74"/>
    </row>
    <row r="20" customFormat="false" ht="21.75" hidden="false" customHeight="true" outlineLevel="0" collapsed="false">
      <c r="A20" s="75" t="s">
        <v>208</v>
      </c>
      <c r="B20" s="75"/>
      <c r="C20" s="75"/>
      <c r="D20" s="75"/>
      <c r="E20" s="75"/>
      <c r="F20" s="75"/>
    </row>
    <row r="21" customFormat="false" ht="18" hidden="false" customHeight="true" outlineLevel="0" collapsed="false">
      <c r="A21" s="74" t="s">
        <v>209</v>
      </c>
      <c r="B21" s="74"/>
      <c r="C21" s="74"/>
      <c r="D21" s="74"/>
      <c r="E21" s="74"/>
      <c r="F21" s="74"/>
    </row>
    <row r="22" customFormat="false" ht="18" hidden="false" customHeight="true" outlineLevel="0" collapsed="false">
      <c r="A22" s="74" t="s">
        <v>210</v>
      </c>
      <c r="B22" s="74"/>
      <c r="C22" s="74"/>
      <c r="D22" s="74"/>
      <c r="E22" s="74"/>
      <c r="F22" s="74"/>
    </row>
    <row r="23" customFormat="false" ht="18" hidden="false" customHeight="true" outlineLevel="0" collapsed="false">
      <c r="A23" s="74" t="s">
        <v>211</v>
      </c>
      <c r="B23" s="74"/>
      <c r="C23" s="74"/>
      <c r="D23" s="74"/>
      <c r="E23" s="74"/>
      <c r="F23" s="74"/>
    </row>
    <row r="24" customFormat="false" ht="18" hidden="false" customHeight="true" outlineLevel="0" collapsed="false">
      <c r="A24" s="74" t="s">
        <v>212</v>
      </c>
      <c r="B24" s="74"/>
      <c r="C24" s="74"/>
      <c r="D24" s="74"/>
      <c r="E24" s="74"/>
      <c r="F24" s="74"/>
    </row>
    <row r="26" customFormat="false" ht="24" hidden="false" customHeight="true" outlineLevel="0" collapsed="false">
      <c r="A26" s="76" t="s">
        <v>213</v>
      </c>
      <c r="B26" s="76"/>
      <c r="C26" s="76"/>
      <c r="D26" s="76"/>
      <c r="E26" s="76"/>
      <c r="F26" s="76"/>
    </row>
    <row r="27" customFormat="false" ht="21.75" hidden="false" customHeight="true" outlineLevel="0" collapsed="false">
      <c r="A27" s="75" t="s">
        <v>214</v>
      </c>
      <c r="B27" s="75"/>
      <c r="C27" s="75"/>
      <c r="D27" s="75"/>
      <c r="E27" s="75"/>
      <c r="F27" s="75"/>
    </row>
    <row r="28" customFormat="false" ht="18" hidden="false" customHeight="true" outlineLevel="0" collapsed="false">
      <c r="A28" s="74" t="s">
        <v>215</v>
      </c>
      <c r="B28" s="74"/>
      <c r="C28" s="74"/>
      <c r="D28" s="74"/>
      <c r="E28" s="74"/>
      <c r="F28" s="74"/>
    </row>
    <row r="29" customFormat="false" ht="18" hidden="false" customHeight="true" outlineLevel="0" collapsed="false">
      <c r="A29" s="74" t="s">
        <v>216</v>
      </c>
      <c r="B29" s="74"/>
      <c r="C29" s="74"/>
      <c r="D29" s="74"/>
      <c r="E29" s="74"/>
      <c r="F29" s="74"/>
    </row>
    <row r="31" customFormat="false" ht="21.75" hidden="false" customHeight="true" outlineLevel="0" collapsed="false">
      <c r="A31" s="77" t="s">
        <v>217</v>
      </c>
      <c r="B31" s="77"/>
      <c r="C31" s="77"/>
      <c r="D31" s="77"/>
      <c r="E31" s="77"/>
      <c r="F31" s="77"/>
    </row>
    <row r="32" customFormat="false" ht="18" hidden="false" customHeight="true" outlineLevel="0" collapsed="false">
      <c r="A32" s="74" t="s">
        <v>218</v>
      </c>
      <c r="B32" s="74"/>
      <c r="C32" s="74"/>
      <c r="D32" s="74"/>
      <c r="E32" s="74"/>
      <c r="F32" s="74"/>
    </row>
    <row r="33" customFormat="false" ht="18" hidden="false" customHeight="true" outlineLevel="0" collapsed="false">
      <c r="A33" s="74" t="s">
        <v>219</v>
      </c>
      <c r="B33" s="74"/>
      <c r="C33" s="74"/>
      <c r="D33" s="74"/>
      <c r="E33" s="74"/>
      <c r="F33" s="74"/>
    </row>
    <row r="34" customFormat="false" ht="18" hidden="false" customHeight="true" outlineLevel="0" collapsed="false">
      <c r="A34" s="74" t="s">
        <v>220</v>
      </c>
      <c r="B34" s="74"/>
      <c r="C34" s="74"/>
      <c r="D34" s="74"/>
      <c r="E34" s="74"/>
      <c r="F34" s="74"/>
    </row>
    <row r="35" customFormat="false" ht="18" hidden="false" customHeight="true" outlineLevel="0" collapsed="false">
      <c r="A35" s="74" t="s">
        <v>221</v>
      </c>
      <c r="B35" s="74"/>
      <c r="C35" s="74"/>
      <c r="D35" s="74"/>
      <c r="E35" s="74"/>
      <c r="F35" s="74"/>
    </row>
    <row r="37" customFormat="false" ht="21.75" hidden="false" customHeight="true" outlineLevel="0" collapsed="false">
      <c r="A37" s="77" t="s">
        <v>222</v>
      </c>
      <c r="B37" s="77"/>
      <c r="C37" s="77"/>
      <c r="D37" s="77"/>
      <c r="E37" s="77"/>
      <c r="F37" s="77"/>
    </row>
    <row r="38" customFormat="false" ht="18" hidden="false" customHeight="true" outlineLevel="0" collapsed="false">
      <c r="A38" s="74" t="s">
        <v>223</v>
      </c>
      <c r="B38" s="74"/>
      <c r="C38" s="74"/>
      <c r="D38" s="74"/>
      <c r="E38" s="74"/>
      <c r="F38" s="74"/>
    </row>
    <row r="39" customFormat="false" ht="18" hidden="false" customHeight="true" outlineLevel="0" collapsed="false">
      <c r="A39" s="74" t="s">
        <v>224</v>
      </c>
      <c r="B39" s="74"/>
      <c r="C39" s="74"/>
      <c r="D39" s="74"/>
      <c r="E39" s="74"/>
      <c r="F39" s="74"/>
    </row>
    <row r="40" customFormat="false" ht="18" hidden="false" customHeight="true" outlineLevel="0" collapsed="false">
      <c r="A40" s="74" t="s">
        <v>225</v>
      </c>
      <c r="B40" s="74"/>
      <c r="C40" s="74"/>
      <c r="D40" s="74"/>
      <c r="E40" s="74"/>
      <c r="F40" s="74"/>
    </row>
    <row r="41" customFormat="false" ht="18" hidden="false" customHeight="true" outlineLevel="0" collapsed="false">
      <c r="A41" s="74" t="s">
        <v>226</v>
      </c>
      <c r="B41" s="74"/>
      <c r="C41" s="74"/>
      <c r="D41" s="74"/>
      <c r="E41" s="74"/>
      <c r="F41" s="74"/>
    </row>
    <row r="43" customFormat="false" ht="21.75" hidden="false" customHeight="true" outlineLevel="0" collapsed="false">
      <c r="A43" s="77" t="s">
        <v>227</v>
      </c>
      <c r="B43" s="77"/>
      <c r="C43" s="77"/>
      <c r="D43" s="77"/>
      <c r="E43" s="77"/>
      <c r="F43" s="77"/>
    </row>
    <row r="44" customFormat="false" ht="18" hidden="false" customHeight="true" outlineLevel="0" collapsed="false">
      <c r="A44" s="74" t="s">
        <v>228</v>
      </c>
      <c r="B44" s="74"/>
      <c r="C44" s="74"/>
      <c r="D44" s="74"/>
      <c r="E44" s="74"/>
      <c r="F44" s="74"/>
    </row>
    <row r="45" customFormat="false" ht="18" hidden="false" customHeight="true" outlineLevel="0" collapsed="false">
      <c r="A45" s="74" t="s">
        <v>229</v>
      </c>
      <c r="B45" s="74"/>
      <c r="C45" s="74"/>
      <c r="D45" s="74"/>
      <c r="E45" s="74"/>
      <c r="F45" s="74"/>
    </row>
    <row r="46" customFormat="false" ht="18" hidden="false" customHeight="true" outlineLevel="0" collapsed="false">
      <c r="A46" s="74" t="s">
        <v>230</v>
      </c>
      <c r="B46" s="74"/>
      <c r="C46" s="74"/>
      <c r="D46" s="74"/>
      <c r="E46" s="74"/>
      <c r="F46" s="74"/>
    </row>
    <row r="48" customFormat="false" ht="24" hidden="false" customHeight="true" outlineLevel="0" collapsed="false">
      <c r="A48" s="73" t="s">
        <v>231</v>
      </c>
      <c r="B48" s="73"/>
      <c r="C48" s="73"/>
      <c r="D48" s="73"/>
      <c r="E48" s="73"/>
      <c r="F48" s="73"/>
    </row>
    <row r="49" customFormat="false" ht="21.75" hidden="false" customHeight="true" outlineLevel="0" collapsed="false">
      <c r="A49" s="77" t="s">
        <v>232</v>
      </c>
      <c r="B49" s="77"/>
      <c r="C49" s="77"/>
      <c r="D49" s="77"/>
      <c r="E49" s="77"/>
      <c r="F49" s="77"/>
    </row>
    <row r="50" customFormat="false" ht="18" hidden="false" customHeight="true" outlineLevel="0" collapsed="false">
      <c r="A50" s="74" t="s">
        <v>233</v>
      </c>
      <c r="B50" s="74"/>
      <c r="C50" s="74"/>
      <c r="D50" s="74"/>
      <c r="E50" s="74"/>
      <c r="F50" s="74"/>
    </row>
    <row r="51" customFormat="false" ht="18" hidden="false" customHeight="true" outlineLevel="0" collapsed="false">
      <c r="A51" s="74" t="s">
        <v>234</v>
      </c>
      <c r="B51" s="74"/>
      <c r="C51" s="74"/>
      <c r="D51" s="74"/>
      <c r="E51" s="74"/>
      <c r="F51" s="74"/>
    </row>
    <row r="52" customFormat="false" ht="18" hidden="false" customHeight="true" outlineLevel="0" collapsed="false">
      <c r="A52" s="74" t="s">
        <v>235</v>
      </c>
      <c r="B52" s="74"/>
      <c r="C52" s="74"/>
      <c r="D52" s="74"/>
      <c r="E52" s="74"/>
      <c r="F52" s="74"/>
    </row>
    <row r="53" customFormat="false" ht="18" hidden="false" customHeight="true" outlineLevel="0" collapsed="false">
      <c r="A53" s="74" t="s">
        <v>236</v>
      </c>
      <c r="B53" s="74"/>
      <c r="C53" s="74"/>
      <c r="D53" s="74"/>
      <c r="E53" s="74"/>
      <c r="F53" s="74"/>
    </row>
    <row r="55" customFormat="false" ht="21.75" hidden="false" customHeight="true" outlineLevel="0" collapsed="false">
      <c r="A55" s="77" t="s">
        <v>237</v>
      </c>
      <c r="B55" s="77"/>
      <c r="C55" s="77"/>
      <c r="D55" s="77"/>
      <c r="E55" s="77"/>
      <c r="F55" s="77"/>
    </row>
    <row r="56" customFormat="false" ht="18" hidden="false" customHeight="true" outlineLevel="0" collapsed="false">
      <c r="A56" s="74" t="s">
        <v>238</v>
      </c>
      <c r="B56" s="74"/>
      <c r="C56" s="74"/>
      <c r="D56" s="74"/>
      <c r="E56" s="74"/>
      <c r="F56" s="74"/>
    </row>
    <row r="57" customFormat="false" ht="18" hidden="false" customHeight="true" outlineLevel="0" collapsed="false">
      <c r="A57" s="74" t="s">
        <v>239</v>
      </c>
      <c r="B57" s="74"/>
      <c r="C57" s="74"/>
      <c r="D57" s="74"/>
      <c r="E57" s="74"/>
      <c r="F57" s="74"/>
    </row>
    <row r="58" customFormat="false" ht="18" hidden="false" customHeight="true" outlineLevel="0" collapsed="false">
      <c r="A58" s="74" t="s">
        <v>240</v>
      </c>
      <c r="B58" s="74"/>
      <c r="C58" s="74"/>
      <c r="D58" s="74"/>
      <c r="E58" s="74"/>
      <c r="F58" s="74"/>
    </row>
    <row r="60" customFormat="false" ht="24" hidden="false" customHeight="true" outlineLevel="0" collapsed="false">
      <c r="A60" s="73" t="s">
        <v>241</v>
      </c>
      <c r="B60" s="73"/>
      <c r="C60" s="73"/>
      <c r="D60" s="73"/>
      <c r="E60" s="73"/>
      <c r="F60" s="73"/>
    </row>
    <row r="61" customFormat="false" ht="18" hidden="false" customHeight="true" outlineLevel="0" collapsed="false">
      <c r="A61" s="74" t="s">
        <v>242</v>
      </c>
      <c r="B61" s="74"/>
      <c r="C61" s="74"/>
      <c r="D61" s="74"/>
      <c r="E61" s="74"/>
      <c r="F61" s="74"/>
    </row>
    <row r="62" customFormat="false" ht="18" hidden="false" customHeight="true" outlineLevel="0" collapsed="false">
      <c r="A62" s="74" t="s">
        <v>243</v>
      </c>
      <c r="B62" s="74"/>
      <c r="C62" s="74"/>
      <c r="D62" s="74"/>
      <c r="E62" s="74"/>
      <c r="F62" s="74"/>
    </row>
    <row r="63" customFormat="false" ht="18" hidden="false" customHeight="true" outlineLevel="0" collapsed="false">
      <c r="A63" s="74" t="s">
        <v>244</v>
      </c>
      <c r="B63" s="74"/>
      <c r="C63" s="74"/>
      <c r="D63" s="74"/>
      <c r="E63" s="74"/>
      <c r="F63" s="74"/>
    </row>
    <row r="64" customFormat="false" ht="18" hidden="false" customHeight="true" outlineLevel="0" collapsed="false">
      <c r="A64" s="74" t="s">
        <v>245</v>
      </c>
      <c r="B64" s="74"/>
      <c r="C64" s="74"/>
      <c r="D64" s="74"/>
      <c r="E64" s="74"/>
      <c r="F64" s="74"/>
    </row>
  </sheetData>
  <mergeCells count="53">
    <mergeCell ref="A1:F1"/>
    <mergeCell ref="A3:F3"/>
    <mergeCell ref="A4:F4"/>
    <mergeCell ref="A5:F5"/>
    <mergeCell ref="A7:F7"/>
    <mergeCell ref="A8:F8"/>
    <mergeCell ref="A9:F9"/>
    <mergeCell ref="A10:F10"/>
    <mergeCell ref="A11:F11"/>
    <mergeCell ref="A12:F12"/>
    <mergeCell ref="A14:F14"/>
    <mergeCell ref="A15:F15"/>
    <mergeCell ref="A16:F16"/>
    <mergeCell ref="A17:F17"/>
    <mergeCell ref="A18:F18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1:F31"/>
    <mergeCell ref="A32:F32"/>
    <mergeCell ref="A33:F33"/>
    <mergeCell ref="A34:F34"/>
    <mergeCell ref="A35:F35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  <mergeCell ref="A48:F48"/>
    <mergeCell ref="A49:F49"/>
    <mergeCell ref="A50:F50"/>
    <mergeCell ref="A51:F51"/>
    <mergeCell ref="A52:F52"/>
    <mergeCell ref="A53:F53"/>
    <mergeCell ref="A55:F55"/>
    <mergeCell ref="A56:F56"/>
    <mergeCell ref="A57:F57"/>
    <mergeCell ref="A58:F58"/>
    <mergeCell ref="A60:F60"/>
    <mergeCell ref="A61:F61"/>
    <mergeCell ref="A62:F62"/>
    <mergeCell ref="A63:F63"/>
    <mergeCell ref="A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2026-05-03T05:39:09Z</dcterms:created>
  <dc:creator>openpyxl</dc:creator>
  <dc:description/>
  <dc:language>en-US</dc:language>
  <cp:lastModifiedBy/>
  <dcterms:modified xsi:type="dcterms:W3CDTF">2026-05-03T05:39:09Z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